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xr:revisionPtr revIDLastSave="0" documentId="8_{E51F6E79-69F8-48EB-8A9A-FF9409EDAD1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put Sheet" sheetId="1" r:id="rId1"/>
  </sheets>
  <definedNames>
    <definedName name="valuevx">42.314159</definedName>
    <definedName name="vertex42_copyright">"© 2008-2019 Vertex42 LLC"</definedName>
    <definedName name="vertex42_id">"personal-budget-spreadsheet.xlsx"</definedName>
    <definedName name="vertex42_title">"Personal Budget Spreadsheet"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nIazGnJL6m/Z/SPSGyDrZWjaTq7+Dzz8486u9qtqVgg="/>
    </ext>
  </extLst>
</workbook>
</file>

<file path=xl/calcChain.xml><?xml version="1.0" encoding="utf-8"?>
<calcChain xmlns="http://schemas.openxmlformats.org/spreadsheetml/2006/main">
  <c r="E48" i="1" l="1"/>
  <c r="E58" i="1"/>
  <c r="E7" i="1"/>
  <c r="E13" i="1"/>
  <c r="E26" i="1"/>
  <c r="E40" i="1"/>
  <c r="E30" i="1"/>
  <c r="E57" i="1"/>
  <c r="E43" i="1"/>
  <c r="E42" i="1"/>
  <c r="E18" i="1"/>
  <c r="E14" i="1"/>
  <c r="E41" i="1"/>
  <c r="E17" i="1"/>
  <c r="E44" i="1"/>
  <c r="E52" i="1"/>
  <c r="E10" i="1"/>
  <c r="N10" i="1"/>
  <c r="E55" i="1"/>
  <c r="F55" i="1"/>
  <c r="G55" i="1"/>
  <c r="H55" i="1"/>
  <c r="I55" i="1"/>
  <c r="J55" i="1"/>
  <c r="K55" i="1"/>
  <c r="L55" i="1"/>
  <c r="M55" i="1"/>
  <c r="C59" i="1"/>
  <c r="D59" i="1"/>
  <c r="E59" i="1"/>
  <c r="F59" i="1"/>
  <c r="G59" i="1"/>
  <c r="H59" i="1"/>
  <c r="I59" i="1"/>
  <c r="J59" i="1"/>
  <c r="K59" i="1"/>
  <c r="L59" i="1"/>
  <c r="M59" i="1"/>
  <c r="E38" i="1"/>
  <c r="F38" i="1"/>
  <c r="G38" i="1"/>
  <c r="H38" i="1"/>
  <c r="I38" i="1"/>
  <c r="J38" i="1"/>
  <c r="K38" i="1"/>
  <c r="L38" i="1"/>
  <c r="M38" i="1"/>
  <c r="D28" i="1"/>
  <c r="E28" i="1"/>
  <c r="F28" i="1"/>
  <c r="G28" i="1"/>
  <c r="H28" i="1"/>
  <c r="I28" i="1"/>
  <c r="J28" i="1"/>
  <c r="K28" i="1"/>
  <c r="L28" i="1"/>
  <c r="M28" i="1"/>
  <c r="E23" i="1"/>
  <c r="F23" i="1"/>
  <c r="G23" i="1"/>
  <c r="H23" i="1"/>
  <c r="I23" i="1"/>
  <c r="J23" i="1"/>
  <c r="K23" i="1"/>
  <c r="L23" i="1"/>
  <c r="M23" i="1"/>
  <c r="E15" i="1"/>
  <c r="F15" i="1"/>
  <c r="G15" i="1"/>
  <c r="H15" i="1"/>
  <c r="I15" i="1"/>
  <c r="J15" i="1"/>
  <c r="K15" i="1"/>
  <c r="L15" i="1"/>
  <c r="M15" i="1"/>
  <c r="N47" i="1"/>
  <c r="N49" i="1"/>
  <c r="N50" i="1"/>
  <c r="N53" i="1"/>
  <c r="N31" i="1"/>
  <c r="N32" i="1"/>
  <c r="N34" i="1"/>
  <c r="N37" i="1"/>
  <c r="N21" i="1"/>
  <c r="N57" i="1"/>
  <c r="N25" i="1"/>
  <c r="D13" i="1"/>
  <c r="C13" i="1"/>
  <c r="N13" i="1" s="1"/>
  <c r="C14" i="1"/>
  <c r="B14" i="1"/>
  <c r="C6" i="1"/>
  <c r="N6" i="1" s="1"/>
  <c r="B7" i="1"/>
  <c r="C7" i="1"/>
  <c r="B10" i="1"/>
  <c r="C10" i="1"/>
  <c r="D10" i="1"/>
  <c r="C11" i="1"/>
  <c r="D11" i="1"/>
  <c r="D14" i="1"/>
  <c r="B17" i="1"/>
  <c r="D17" i="1"/>
  <c r="B18" i="1"/>
  <c r="C18" i="1"/>
  <c r="B19" i="1"/>
  <c r="C19" i="1"/>
  <c r="D19" i="1"/>
  <c r="B20" i="1"/>
  <c r="N20" i="1" s="1"/>
  <c r="C22" i="1"/>
  <c r="N22" i="1" s="1"/>
  <c r="B26" i="1"/>
  <c r="C26" i="1"/>
  <c r="C28" i="1" s="1"/>
  <c r="B27" i="1"/>
  <c r="N27" i="1" s="1"/>
  <c r="B30" i="1"/>
  <c r="C30" i="1"/>
  <c r="D30" i="1"/>
  <c r="B33" i="1"/>
  <c r="C33" i="1"/>
  <c r="B35" i="1"/>
  <c r="C35" i="1"/>
  <c r="D35" i="1"/>
  <c r="C36" i="1"/>
  <c r="D36" i="1"/>
  <c r="C40" i="1"/>
  <c r="D40" i="1"/>
  <c r="B41" i="1"/>
  <c r="C41" i="1"/>
  <c r="D41" i="1"/>
  <c r="C42" i="1"/>
  <c r="D42" i="1"/>
  <c r="B43" i="1"/>
  <c r="D43" i="1"/>
  <c r="B44" i="1"/>
  <c r="N44" i="1" s="1"/>
  <c r="B45" i="1"/>
  <c r="N45" i="1" s="1"/>
  <c r="B46" i="1"/>
  <c r="C46" i="1"/>
  <c r="B48" i="1"/>
  <c r="N48" i="1" s="1"/>
  <c r="B51" i="1"/>
  <c r="C51" i="1"/>
  <c r="D51" i="1"/>
  <c r="B52" i="1"/>
  <c r="C52" i="1"/>
  <c r="B54" i="1"/>
  <c r="C54" i="1"/>
  <c r="D54" i="1"/>
  <c r="B58" i="1"/>
  <c r="B59" i="1" l="1"/>
  <c r="N58" i="1"/>
  <c r="N54" i="1"/>
  <c r="N52" i="1"/>
  <c r="N51" i="1"/>
  <c r="N46" i="1"/>
  <c r="N43" i="1"/>
  <c r="N42" i="1"/>
  <c r="B55" i="1"/>
  <c r="N41" i="1"/>
  <c r="D55" i="1"/>
  <c r="C55" i="1"/>
  <c r="N40" i="1"/>
  <c r="N55" i="1" s="1"/>
  <c r="N36" i="1"/>
  <c r="N35" i="1"/>
  <c r="N33" i="1"/>
  <c r="D38" i="1"/>
  <c r="C38" i="1"/>
  <c r="B38" i="1"/>
  <c r="N30" i="1"/>
  <c r="N38" i="1" s="1"/>
  <c r="B28" i="1"/>
  <c r="N26" i="1"/>
  <c r="N19" i="1"/>
  <c r="C23" i="1"/>
  <c r="N18" i="1"/>
  <c r="D23" i="1"/>
  <c r="B23" i="1"/>
  <c r="N17" i="1"/>
  <c r="N23" i="1" s="1"/>
  <c r="N11" i="1"/>
  <c r="D15" i="1"/>
  <c r="C15" i="1"/>
  <c r="B15" i="1"/>
  <c r="N7" i="1"/>
  <c r="N8" i="1"/>
  <c r="R6" i="1" s="1"/>
  <c r="N14" i="1"/>
  <c r="N28" i="1"/>
  <c r="N59" i="1"/>
  <c r="N15" i="1" l="1"/>
  <c r="R7" i="1" s="1"/>
  <c r="R8" i="1" s="1"/>
</calcChain>
</file>

<file path=xl/sharedStrings.xml><?xml version="1.0" encoding="utf-8"?>
<sst xmlns="http://schemas.openxmlformats.org/spreadsheetml/2006/main" count="154" uniqueCount="66">
  <si>
    <t>Income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</si>
  <si>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</si>
  <si>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</si>
  <si>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</si>
  <si>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</si>
  <si>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</si>
  <si>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</si>
  <si>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</si>
  <si>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</si>
  <si>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</si>
  <si>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</si>
  <si>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</si>
  <si>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</si>
  <si>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</si>
  <si>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Avg</t>
  </si>
  <si>
    <t>Totals</t>
  </si>
  <si>
    <t>Goals</t>
  </si>
  <si>
    <t>Salary</t>
  </si>
  <si>
    <t>Total Income</t>
  </si>
  <si>
    <t>Saving Rate</t>
  </si>
  <si>
    <t>Essentials</t>
  </si>
  <si>
    <t>Non-Essentials</t>
  </si>
  <si>
    <t>Reimbursements</t>
  </si>
  <si>
    <t>Total Expenses</t>
  </si>
  <si>
    <t>Net</t>
  </si>
  <si>
    <t>Transportation</t>
  </si>
  <si>
    <t>NMBS</t>
  </si>
  <si>
    <t>Cambio</t>
  </si>
  <si>
    <t>De Lijn</t>
  </si>
  <si>
    <t>Motorcycle</t>
  </si>
  <si>
    <t>Other</t>
  </si>
  <si>
    <t>Health</t>
  </si>
  <si>
    <t>Health Insurance</t>
  </si>
  <si>
    <t>Medication</t>
  </si>
  <si>
    <t>Doctor</t>
  </si>
  <si>
    <t>Cosmetics</t>
  </si>
  <si>
    <t>Sauna</t>
  </si>
  <si>
    <t>Charity_Gifts</t>
  </si>
  <si>
    <t>Wikipedia</t>
  </si>
  <si>
    <t>Gifts</t>
  </si>
  <si>
    <t>Daily_Living</t>
  </si>
  <si>
    <t>Groceries</t>
  </si>
  <si>
    <t>Phone bill</t>
  </si>
  <si>
    <t>Rent</t>
  </si>
  <si>
    <t>Clothes</t>
  </si>
  <si>
    <t>Laundry</t>
  </si>
  <si>
    <t>Education/Lessons</t>
  </si>
  <si>
    <t>Barber</t>
  </si>
  <si>
    <t>Entertainment</t>
  </si>
  <si>
    <t>Eating Out</t>
  </si>
  <si>
    <t>Drinks</t>
  </si>
  <si>
    <t>Coffee</t>
  </si>
  <si>
    <t>HEMA</t>
  </si>
  <si>
    <t>Books</t>
  </si>
  <si>
    <t>Games</t>
  </si>
  <si>
    <t>Warhammer</t>
  </si>
  <si>
    <t>Concerts</t>
  </si>
  <si>
    <t>Guitar</t>
  </si>
  <si>
    <t>Camera</t>
  </si>
  <si>
    <t>Spotify + icloud</t>
  </si>
  <si>
    <t>Kombucha</t>
  </si>
  <si>
    <t>Baking</t>
  </si>
  <si>
    <t>Vacation/Travel</t>
  </si>
  <si>
    <t>Savings</t>
  </si>
  <si>
    <t>General Savings</t>
  </si>
  <si>
    <t>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</si>
</sst>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rgb="FF000000"/>
      <name val="Arial"/>
      <scheme val="minor"/>
    </font>
    <font>
      <sz val="18"/>
      <color rgb="FF3C5B92"/>
      <name val="Arial"/>
    </font>
    <font>
      <b/>
      <sz val="18"/>
      <color theme="0"/>
      <name val="Arial"/>
    </font>
    <font>
      <b/>
      <sz val="18"/>
      <color theme="0"/>
      <name val="Trebuchet MS"/>
    </font>
    <font>
      <sz val="10"/>
      <color theme="1"/>
      <name val="Trebuchet MS"/>
    </font>
    <font>
      <u/>
      <sz val="8"/>
      <color rgb="FFA5A5A5"/>
      <name val="Arial"/>
    </font>
    <font>
      <u/>
      <sz val="8"/>
      <color rgb="FF0000FF"/>
      <name val="Trebuchet MS"/>
    </font>
    <font>
      <sz val="8"/>
      <color theme="1"/>
      <name val="Trebuchet MS"/>
    </font>
    <font>
      <sz val="8"/>
      <color rgb="FFA5A5A5"/>
      <name val="Arial"/>
    </font>
    <font>
      <u/>
      <sz val="8"/>
      <color rgb="FF595959"/>
      <name val="Arial"/>
    </font>
    <font>
      <b/>
      <sz val="10"/>
      <color theme="1"/>
      <name val="Arial"/>
    </font>
    <font>
      <sz val="11"/>
      <color theme="1"/>
      <name val="Trebuchet MS"/>
    </font>
    <font>
      <sz val="9"/>
      <color theme="1"/>
      <name val="Trebuchet MS"/>
    </font>
    <font>
      <sz val="11"/>
      <color theme="1"/>
      <name val="Arial"/>
      <scheme val="minor"/>
    </font>
    <font>
      <sz val="11"/>
      <color rgb="FF000000"/>
      <name val="Trebuchet MS"/>
    </font>
    <font>
      <sz val="8"/>
      <color theme="1"/>
      <name val="Arial"/>
    </font>
    <font>
      <b/>
      <sz val="10"/>
      <color rgb="FF000000"/>
      <name val="Arial"/>
      <scheme val="minor"/>
    </font>
    <font>
      <sz val="8"/>
      <color rgb="FF00000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DDE4F1"/>
        <bgColor rgb="FFDDE4F1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 style="thin">
        <color rgb="FFBFBFBF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theme="0" tint="-0.1499984740745262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12" fillId="0" borderId="1" xfId="0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0" fontId="12" fillId="0" borderId="0" xfId="0" applyFont="1" applyAlignment="1">
      <alignment vertical="center" shrinkToFit="1"/>
    </xf>
    <xf numFmtId="3" fontId="7" fillId="0" borderId="0" xfId="0" applyNumberFormat="1" applyFont="1" applyAlignment="1">
      <alignment vertical="center"/>
    </xf>
    <xf numFmtId="0" fontId="13" fillId="0" borderId="1" xfId="0" applyFont="1" applyBorder="1"/>
    <xf numFmtId="3" fontId="12" fillId="0" borderId="3" xfId="0" applyNumberFormat="1" applyFont="1" applyBorder="1" applyAlignment="1">
      <alignment vertical="center"/>
    </xf>
    <xf numFmtId="3" fontId="12" fillId="0" borderId="4" xfId="0" applyNumberFormat="1" applyFont="1" applyBorder="1" applyAlignment="1">
      <alignment vertical="center"/>
    </xf>
    <xf numFmtId="3" fontId="12" fillId="0" borderId="1" xfId="0" applyNumberFormat="1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center" vertical="center"/>
    </xf>
    <xf numFmtId="3" fontId="12" fillId="0" borderId="5" xfId="0" applyNumberFormat="1" applyFont="1" applyBorder="1" applyAlignment="1">
      <alignment horizontal="center" vertical="center"/>
    </xf>
    <xf numFmtId="3" fontId="12" fillId="0" borderId="5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3" fontId="12" fillId="2" borderId="3" xfId="0" applyNumberFormat="1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3" fontId="12" fillId="2" borderId="6" xfId="0" applyNumberFormat="1" applyFont="1" applyFill="1" applyBorder="1" applyAlignment="1">
      <alignment vertical="center"/>
    </xf>
    <xf numFmtId="3" fontId="12" fillId="2" borderId="7" xfId="0" applyNumberFormat="1" applyFont="1" applyFill="1" applyBorder="1" applyAlignment="1">
      <alignment vertical="center"/>
    </xf>
    <xf numFmtId="3" fontId="12" fillId="2" borderId="8" xfId="0" applyNumberFormat="1" applyFont="1" applyFill="1" applyBorder="1" applyAlignment="1">
      <alignment vertical="center"/>
    </xf>
    <xf numFmtId="3" fontId="12" fillId="2" borderId="9" xfId="0" applyNumberFormat="1" applyFont="1" applyFill="1" applyBorder="1" applyAlignment="1">
      <alignment vertical="center"/>
    </xf>
    <xf numFmtId="3" fontId="12" fillId="2" borderId="10" xfId="0" applyNumberFormat="1" applyFont="1" applyFill="1" applyBorder="1" applyAlignment="1">
      <alignment vertical="center"/>
    </xf>
    <xf numFmtId="3" fontId="12" fillId="0" borderId="1" xfId="0" applyNumberFormat="1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3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3" fontId="7" fillId="3" borderId="0" xfId="0" applyNumberFormat="1" applyFont="1" applyFill="1" applyAlignment="1">
      <alignment vertical="center"/>
    </xf>
    <xf numFmtId="0" fontId="7" fillId="3" borderId="0" xfId="0" applyFont="1" applyFill="1" applyAlignment="1">
      <alignment vertical="center"/>
    </xf>
    <xf numFmtId="3" fontId="7" fillId="3" borderId="0" xfId="0" applyNumberFormat="1" applyFont="1" applyFill="1" applyAlignment="1">
      <alignment horizontal="right" vertical="center"/>
    </xf>
    <xf numFmtId="3" fontId="15" fillId="3" borderId="0" xfId="0" applyNumberFormat="1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wrapText="1"/>
    </xf>
    <xf numFmtId="3" fontId="17" fillId="0" borderId="0" xfId="0" applyNumberFormat="1" applyFont="1" applyAlignment="1"/>
    <xf numFmtId="0" fontId="17" fillId="0" borderId="0" xfId="0" applyFont="1" applyAlignment="1"/>
    <xf numFmtId="3" fontId="15" fillId="3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3" fontId="12" fillId="2" borderId="11" xfId="0" applyNumberFormat="1" applyFont="1" applyFill="1" applyBorder="1" applyAlignment="1">
      <alignment vertical="center"/>
    </xf>
    <xf numFmtId="3" fontId="12" fillId="2" borderId="1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2" fillId="2" borderId="13" xfId="0" applyFont="1" applyFill="1" applyBorder="1" applyAlignment="1">
      <alignment vertical="center" shrinkToFit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none"/>
      </font>
      <alignment horizontal="general" vertical="center" textRotation="0" wrapText="0" indent="0" justifyLastLine="0" shrinkToFit="0" readingOrder="0"/>
    </dxf>
    <dxf>
      <font>
        <sz val="8"/>
        <name val="Trebuchet MS"/>
      </font>
    </dxf>
    <dxf>
      <font>
        <sz val="8"/>
        <name val="Trebuchet MS"/>
      </font>
    </dxf>
    <dxf>
      <numFmt numFmtId="3" formatCode="#,##0"/>
    </dxf>
    <dxf>
      <border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DE4F1"/>
          <bgColor rgb="FFDDE4F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E1F1DD"/>
          <bgColor rgb="FFE1F1DD"/>
        </patternFill>
      </fill>
    </dxf>
    <dxf>
      <fill>
        <patternFill patternType="solid">
          <fgColor rgb="FFE1F1DD"/>
          <bgColor rgb="FFE1F1DD"/>
        </patternFill>
      </fill>
    </dxf>
  </dxfs>
  <tableStyles count="6">
    <tableStyle name="Budget-style" pivot="0" count="2" xr9:uid="{00000000-0011-0000-FFFF-FFFF00000000}">
      <tableStyleElement type="firstColumnStripe" dxfId="19"/>
      <tableStyleElement type="secondColumnStripe" dxfId="18"/>
    </tableStyle>
    <tableStyle name="Budget-style 2" pivot="0" count="2" xr9:uid="{00000000-0011-0000-FFFF-FFFF01000000}">
      <tableStyleElement type="firstColumnStripe" dxfId="17"/>
      <tableStyleElement type="secondColumnStripe" dxfId="16"/>
    </tableStyle>
    <tableStyle name="Budget-style 3" pivot="0" count="2" xr9:uid="{00000000-0011-0000-FFFF-FFFF02000000}">
      <tableStyleElement type="firstColumnStripe" dxfId="15"/>
      <tableStyleElement type="secondColumnStripe" dxfId="14"/>
    </tableStyle>
    <tableStyle name="Budget-style 4" pivot="0" count="2" xr9:uid="{00000000-0011-0000-FFFF-FFFF03000000}">
      <tableStyleElement type="firstColumnStripe" dxfId="13"/>
      <tableStyleElement type="secondColumnStripe" dxfId="12"/>
    </tableStyle>
    <tableStyle name="Budget-style 5" pivot="0" count="2" xr9:uid="{00000000-0011-0000-FFFF-FFFF04000000}">
      <tableStyleElement type="firstColumnStripe" dxfId="11"/>
      <tableStyleElement type="secondColumnStripe" dxfId="10"/>
    </tableStyle>
    <tableStyle name="Budget-style 6" pivot="0" count="2" xr9:uid="{00000000-0011-0000-FFFF-FFFF05000000}">
      <tableStyleElement type="firstColumnStripe" dxfId="9"/>
      <tableStyleElement type="secondColumnStripe" dxfId="8"/>
    </tableStyle>
  </tableStyles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C0AC964-7D43-41AF-9A1F-631CFD958F86}" name="Savings" displayName="Savings" ref="A56:M58" totalsRowShown="0" headerRowDxfId="7">
  <autoFilter ref="A56:M58" xr:uid="{DC0AC964-7D43-41AF-9A1F-631CFD958F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4D0BA61-44AB-465B-A1E9-17EF7A1BDD6D}" name="Savings" dataDxfId="6"/>
    <tableColumn id="2" xr3:uid="{1723DF16-E8FA-4E42-A341-B4F497D3BD7F}" name="JAN"/>
    <tableColumn id="3" xr3:uid="{DAB663B5-2500-495A-91F4-C138EF9985CD}" name="FEB"/>
    <tableColumn id="4" xr3:uid="{04B71657-C680-418C-94C3-9BB836FB7B64}" name="MAR"/>
    <tableColumn id="5" xr3:uid="{66DBF6CE-DF11-4D5B-9D39-83A88864AB51}" name="APR" dataDxfId="5">
      <calculatedColumnFormula>-500</calculatedColumnFormula>
    </tableColumn>
    <tableColumn id="6" xr3:uid="{873B7BAE-2BEE-429F-9710-BA2DC52207A2}" name="MAY"/>
    <tableColumn id="7" xr3:uid="{9BB8EA20-73E5-4269-B55C-788ED064DBDB}" name="JUN"/>
    <tableColumn id="8" xr3:uid="{93BB4EF1-E23A-4128-861F-71C28FFA346D}" name="JUL"/>
    <tableColumn id="9" xr3:uid="{D1D9D648-1644-498A-A756-F075C95DBBD9}" name="AUG"/>
    <tableColumn id="10" xr3:uid="{AD65EA02-610E-4518-A75C-F6BC38C44275}" name="SEP"/>
    <tableColumn id="11" xr3:uid="{87AFE408-AC73-4601-B8E9-7AF9F93FC0B6}" name="OCT"/>
    <tableColumn id="12" xr3:uid="{4700293C-B936-4A76-9B29-3D2A3B9D3F0E}" name="NOV"/>
    <tableColumn id="13" xr3:uid="{4E2A085A-E8C8-4A29-9951-04DC69C5F820}" name="DEC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ntertainment" displayName="Entertainment" ref="A39:M54" headerRowCount="0">
  <tableColumns count="13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</tableColumns>
  <tableStyleInfo name="Budget-style 6" showFirstColumn="1" showLastColumn="1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ily_Living" displayName="Daily_Living" ref="A29:M37" headerRowCount="0">
  <tableColumns count="13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</tableColumns>
  <tableStyleInfo name="Budget-style 5" showFirstColumn="1" showLastColumn="1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ity_Gifts" displayName="Charity_Gifts" ref="A24:M27" headerRowCount="0">
  <tableColumns count="1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</tableColumns>
  <tableStyleInfo name="Budget-style 4" showFirstColumn="1" showLastColumn="1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ealth" displayName="Health" ref="A16:M22" headerRowCount="0">
  <tableColumns count="13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</tableColumns>
  <tableStyleInfo name="Budget-style 3" showFirstColumn="1" showLastColumn="1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nsportation" displayName="Transportation" ref="A9:M14" headerRowCount="0">
  <tableColumns count="1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</tableColumns>
  <tableStyleInfo name="Budget-style 2" showFirstColumn="1" showLastColumn="1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me" displayName="Income" ref="A5:M7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Budget-style" showFirstColumn="1" showLastColumn="1" showRowStripes="0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F615B6-7E2D-4CE0-A01D-7804562237C8}" name="Goals" displayName="Goals" ref="T6:V7" totalsRowShown="0" headerRowDxfId="4" dataDxfId="3">
  <autoFilter ref="T6:V7" xr:uid="{40F615B6-7E2D-4CE0-A01D-7804562237C8}"/>
  <tableColumns count="3">
    <tableColumn id="1" xr3:uid="{74258E1D-C2D5-4F69-B984-EFAB59721DE5}" name="Saving Rate" dataDxfId="2"/>
    <tableColumn id="2" xr3:uid="{8912A091-1345-4EE8-B269-CED9EFC67DDE}" name="Essentials" dataDxfId="1"/>
    <tableColumn id="3" xr3:uid="{565DD159-93D4-424D-A102-3FB563CCF229}" name="Non-Essentials" dataDxfId="0"/>
  </tableColumns>
  <tableStyleInfo name="Budget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97CBB"/>
      </a:accent1>
      <a:accent2>
        <a:srgbClr val="BB5965"/>
      </a:accent2>
      <a:accent3>
        <a:srgbClr val="6CBB59"/>
      </a:accent3>
      <a:accent4>
        <a:srgbClr val="BB7C59"/>
      </a:accent4>
      <a:accent5>
        <a:srgbClr val="9F59BB"/>
      </a:accent5>
      <a:accent6>
        <a:srgbClr val="59BBAB"/>
      </a:accent6>
      <a:hlink>
        <a:srgbClr val="BFD9B6"/>
      </a:hlink>
      <a:folHlink>
        <a:srgbClr val="BFD9B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showGridLines="0" tabSelected="1" topLeftCell="A43" workbookViewId="0">
      <selection activeCell="B62" sqref="B62"/>
    </sheetView>
  </sheetViews>
  <sheetFormatPr defaultColWidth="12.625" defaultRowHeight="15" customHeight="1"/>
  <cols>
    <col min="1" max="1" width="18.875" customWidth="1"/>
    <col min="2" max="3" width="6.25" customWidth="1"/>
    <col min="4" max="4" width="6.5" customWidth="1"/>
    <col min="5" max="5" width="6.25" customWidth="1"/>
    <col min="6" max="6" width="6.375" customWidth="1"/>
    <col min="7" max="8" width="6.25" customWidth="1"/>
    <col min="9" max="9" width="6.375" customWidth="1"/>
    <col min="10" max="13" width="6.25" customWidth="1"/>
    <col min="14" max="14" width="7.375" customWidth="1"/>
    <col min="15" max="15" width="6.25" customWidth="1"/>
    <col min="16" max="17" width="9" customWidth="1"/>
    <col min="18" max="18" width="12.375" customWidth="1"/>
    <col min="19" max="19" width="5.5" customWidth="1"/>
    <col min="20" max="20" width="14.625" bestFit="1" customWidth="1"/>
    <col min="21" max="21" width="10.5" customWidth="1"/>
    <col min="22" max="22" width="13.625" bestFit="1" customWidth="1"/>
    <col min="23" max="26" width="9" customWidth="1"/>
  </cols>
  <sheetData>
    <row r="1" spans="1:26" ht="25.5" customHeight="1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7"/>
      <c r="O2" s="8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7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9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W4" s="10"/>
      <c r="X4" s="10"/>
      <c r="Y4" s="10"/>
      <c r="Z4" s="10"/>
    </row>
    <row r="5" spans="1:26" ht="14.25" customHeight="1">
      <c r="A5" s="24" t="s">
        <v>0</v>
      </c>
      <c r="B5" s="25" t="s">
        <v>1</v>
      </c>
      <c r="C5" s="25" t="s">
        <v>2</v>
      </c>
      <c r="D5" s="25" t="s">
        <v>3</v>
      </c>
      <c r="E5" s="25" t="s">
        <v>4</v>
      </c>
      <c r="F5" s="25" t="s">
        <v>5</v>
      </c>
      <c r="G5" s="25" t="s">
        <v>6</v>
      </c>
      <c r="H5" s="25" t="s">
        <v>7</v>
      </c>
      <c r="I5" s="25" t="s">
        <v>8</v>
      </c>
      <c r="J5" s="25" t="s">
        <v>9</v>
      </c>
      <c r="K5" s="25" t="s">
        <v>10</v>
      </c>
      <c r="L5" s="25" t="s">
        <v>11</v>
      </c>
      <c r="M5" s="25" t="s">
        <v>12</v>
      </c>
      <c r="N5" s="38" t="s">
        <v>13</v>
      </c>
      <c r="O5" s="39" t="s">
        <v>14</v>
      </c>
      <c r="P5" s="12"/>
      <c r="Q5" s="44" t="s">
        <v>15</v>
      </c>
      <c r="R5" s="10"/>
      <c r="S5" s="10"/>
      <c r="T5" s="44" t="s">
        <v>16</v>
      </c>
      <c r="U5" s="10"/>
      <c r="V5" s="10"/>
      <c r="W5" s="37"/>
      <c r="X5" s="12"/>
    </row>
    <row r="6" spans="1:26" ht="14.25" customHeight="1">
      <c r="A6" s="15" t="s">
        <v>17</v>
      </c>
      <c r="B6" s="13"/>
      <c r="C6" s="13">
        <f>774.63</f>
        <v>774.63</v>
      </c>
      <c r="D6" s="13">
        <v>688.56</v>
      </c>
      <c r="E6" s="13">
        <v>761.02</v>
      </c>
      <c r="F6" s="13">
        <v>775</v>
      </c>
      <c r="G6" s="13">
        <v>775</v>
      </c>
      <c r="H6" s="13">
        <v>775</v>
      </c>
      <c r="I6" s="13">
        <v>775</v>
      </c>
      <c r="J6" s="13">
        <v>775</v>
      </c>
      <c r="K6" s="13"/>
      <c r="L6" s="13"/>
      <c r="M6" s="13"/>
      <c r="N6" s="40">
        <f>SUM(B6:M6)</f>
        <v>6099.21</v>
      </c>
      <c r="O6" s="41"/>
      <c r="P6" s="12"/>
      <c r="Q6" s="12" t="s">
        <v>18</v>
      </c>
      <c r="R6" s="47">
        <f>N8</f>
        <v>6810.64</v>
      </c>
      <c r="S6" s="12"/>
      <c r="T6" s="45" t="s">
        <v>19</v>
      </c>
      <c r="U6" s="46" t="s">
        <v>20</v>
      </c>
      <c r="V6" s="45" t="s">
        <v>21</v>
      </c>
      <c r="W6" s="12"/>
      <c r="X6" s="12"/>
    </row>
    <row r="7" spans="1:26" ht="14.25" customHeight="1">
      <c r="A7" s="15" t="s">
        <v>22</v>
      </c>
      <c r="B7" s="13">
        <f>16 + 7.5</f>
        <v>23.5</v>
      </c>
      <c r="C7" s="13">
        <f>33 + 30 + 100</f>
        <v>163</v>
      </c>
      <c r="D7" s="13"/>
      <c r="E7" s="13">
        <f>14 + 13 + 497.93</f>
        <v>524.93000000000006</v>
      </c>
      <c r="F7" s="13"/>
      <c r="G7" s="13"/>
      <c r="H7" s="13"/>
      <c r="I7" s="13"/>
      <c r="J7" s="13"/>
      <c r="K7" s="13"/>
      <c r="L7" s="13"/>
      <c r="M7" s="13"/>
      <c r="N7" s="40">
        <f>SUM(B7:M7)</f>
        <v>711.43000000000006</v>
      </c>
      <c r="O7" s="41"/>
      <c r="P7" s="12"/>
      <c r="Q7" s="12" t="s">
        <v>23</v>
      </c>
      <c r="R7" s="47">
        <f>SUM(N58,N55,N38,N28,N23,N15)</f>
        <v>11802.59</v>
      </c>
      <c r="S7" s="12"/>
      <c r="T7" s="12">
        <v>0.2</v>
      </c>
      <c r="U7" s="37">
        <v>0.7</v>
      </c>
      <c r="V7" s="12">
        <v>0.1</v>
      </c>
      <c r="W7" s="12"/>
      <c r="X7" s="12"/>
    </row>
    <row r="8" spans="1:26" ht="14.2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0">
        <f>SUM(N6:N7)</f>
        <v>6810.64</v>
      </c>
      <c r="O8" s="41"/>
      <c r="P8" s="12"/>
      <c r="Q8" s="48" t="s">
        <v>24</v>
      </c>
      <c r="R8" s="16">
        <f>R6-R7</f>
        <v>-4991.95</v>
      </c>
      <c r="S8" s="14"/>
      <c r="T8" s="12"/>
      <c r="U8" s="12"/>
      <c r="V8" s="12"/>
      <c r="W8" s="12"/>
      <c r="X8" s="12"/>
    </row>
    <row r="9" spans="1:26" ht="14.25" customHeight="1">
      <c r="A9" s="24" t="s">
        <v>25</v>
      </c>
      <c r="B9" s="25" t="s">
        <v>1</v>
      </c>
      <c r="C9" s="25" t="s">
        <v>2</v>
      </c>
      <c r="D9" s="25" t="s">
        <v>3</v>
      </c>
      <c r="E9" s="25" t="s">
        <v>4</v>
      </c>
      <c r="F9" s="25" t="s">
        <v>5</v>
      </c>
      <c r="G9" s="25" t="s">
        <v>6</v>
      </c>
      <c r="H9" s="25" t="s">
        <v>7</v>
      </c>
      <c r="I9" s="25" t="s">
        <v>8</v>
      </c>
      <c r="J9" s="25" t="s">
        <v>9</v>
      </c>
      <c r="K9" s="25" t="s">
        <v>10</v>
      </c>
      <c r="L9" s="25" t="s">
        <v>11</v>
      </c>
      <c r="M9" s="25" t="s">
        <v>12</v>
      </c>
      <c r="N9" s="38" t="s">
        <v>13</v>
      </c>
      <c r="O9" s="39" t="s">
        <v>14</v>
      </c>
      <c r="P9" s="12"/>
      <c r="Q9" s="16"/>
      <c r="R9" s="12"/>
      <c r="S9" s="12"/>
      <c r="T9" s="12"/>
      <c r="U9" s="12"/>
      <c r="V9" s="12"/>
      <c r="W9" s="12"/>
      <c r="X9" s="12"/>
      <c r="Y9" s="12"/>
      <c r="Z9" s="12"/>
    </row>
    <row r="10" spans="1:26" ht="14.25" customHeight="1">
      <c r="A10" s="15" t="s">
        <v>26</v>
      </c>
      <c r="B10" s="13">
        <f>9.2 + 5.5 + 9.2 + 5.5</f>
        <v>29.4</v>
      </c>
      <c r="C10" s="13">
        <f>9.4 + 5.6 + 5.1 + 5.1 + 9.4</f>
        <v>34.6</v>
      </c>
      <c r="D10" s="13">
        <f>2.4</f>
        <v>2.4</v>
      </c>
      <c r="E10" s="13">
        <f>5.6 + 9.4</f>
        <v>15</v>
      </c>
      <c r="F10" s="13"/>
      <c r="G10" s="13"/>
      <c r="H10" s="13"/>
      <c r="I10" s="13"/>
      <c r="J10" s="13"/>
      <c r="K10" s="13"/>
      <c r="L10" s="13"/>
      <c r="M10" s="13"/>
      <c r="N10" s="40">
        <f>SUM(B10:M10)</f>
        <v>81.400000000000006</v>
      </c>
      <c r="O10" s="41"/>
      <c r="P10" s="12"/>
      <c r="Q10" s="12"/>
      <c r="R10" s="12"/>
      <c r="S10" s="12"/>
      <c r="T10" s="12"/>
      <c r="U10" s="12"/>
      <c r="V10" s="12"/>
      <c r="W10" s="12"/>
      <c r="X10" s="12"/>
    </row>
    <row r="11" spans="1:26" ht="14.25" customHeight="1">
      <c r="A11" s="15" t="s">
        <v>27</v>
      </c>
      <c r="B11" s="13"/>
      <c r="C11" s="13">
        <f>350 + 44.12</f>
        <v>394.12</v>
      </c>
      <c r="D11" s="13">
        <f>114.89</f>
        <v>114.89</v>
      </c>
      <c r="E11" s="13"/>
      <c r="F11" s="13"/>
      <c r="G11" s="13"/>
      <c r="H11" s="13"/>
      <c r="I11" s="13"/>
      <c r="J11" s="13"/>
      <c r="K11" s="13"/>
      <c r="L11" s="13"/>
      <c r="M11" s="13"/>
      <c r="N11" s="40">
        <f>SUM(B11:M11)</f>
        <v>509.01</v>
      </c>
      <c r="O11" s="41"/>
      <c r="P11" s="12"/>
      <c r="Q11" s="12"/>
      <c r="R11" s="12"/>
      <c r="S11" s="12"/>
      <c r="T11" s="12"/>
      <c r="U11" s="12"/>
      <c r="V11" s="12"/>
      <c r="W11" s="12"/>
    </row>
    <row r="12" spans="1:26" ht="14.25" customHeight="1">
      <c r="A12" s="15" t="s">
        <v>28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40"/>
      <c r="O12" s="41"/>
      <c r="P12" s="12"/>
      <c r="Q12" s="12"/>
      <c r="R12" s="12"/>
      <c r="S12" s="12"/>
      <c r="T12" s="12"/>
      <c r="U12" s="12"/>
      <c r="V12" s="12"/>
      <c r="W12" s="12"/>
    </row>
    <row r="13" spans="1:26" ht="14.25" customHeight="1">
      <c r="A13" s="15" t="s">
        <v>29</v>
      </c>
      <c r="B13" s="13">
        <v>409</v>
      </c>
      <c r="C13" s="13">
        <f xml:space="preserve"> 41 + 1000 + 483.97 + 13</f>
        <v>1537.97</v>
      </c>
      <c r="D13" s="13">
        <f xml:space="preserve"> 41.26 + 39</f>
        <v>80.259999999999991</v>
      </c>
      <c r="E13" s="13">
        <f xml:space="preserve"> 41.26 + 12.91 + 16.54</f>
        <v>70.710000000000008</v>
      </c>
      <c r="F13" s="13">
        <v>41.26</v>
      </c>
      <c r="G13" s="13">
        <v>41.26</v>
      </c>
      <c r="H13" s="13">
        <v>41.26</v>
      </c>
      <c r="I13" s="13">
        <v>41.26</v>
      </c>
      <c r="J13" s="13">
        <v>41.26</v>
      </c>
      <c r="K13" s="13">
        <v>41.26</v>
      </c>
      <c r="L13" s="13">
        <v>41.26</v>
      </c>
      <c r="M13" s="13">
        <v>41.26</v>
      </c>
      <c r="N13" s="40">
        <f>SUM(B13:M13)</f>
        <v>2428.0200000000018</v>
      </c>
      <c r="O13" s="41"/>
      <c r="P13" s="12"/>
      <c r="Q13" s="12"/>
      <c r="R13" s="12"/>
      <c r="S13" s="12"/>
      <c r="T13" s="12"/>
      <c r="U13" s="12"/>
      <c r="V13" s="12"/>
      <c r="W13" s="12"/>
    </row>
    <row r="14" spans="1:26" ht="14.25" customHeight="1">
      <c r="A14" s="15" t="s">
        <v>30</v>
      </c>
      <c r="B14" s="13">
        <f>4.6 + 1.1 + 30 + 30.97</f>
        <v>66.67</v>
      </c>
      <c r="C14" s="36">
        <f xml:space="preserve"> 15.58 +  30 + 3 + 26.2 + 3 + 2.4</f>
        <v>80.180000000000007</v>
      </c>
      <c r="D14" s="13">
        <f>61.5</f>
        <v>61.5</v>
      </c>
      <c r="E14" s="13">
        <f xml:space="preserve"> 3</f>
        <v>3</v>
      </c>
      <c r="F14" s="13"/>
      <c r="G14" s="13"/>
      <c r="H14" s="13"/>
      <c r="I14" s="13"/>
      <c r="J14" s="13"/>
      <c r="K14" s="13"/>
      <c r="L14" s="13"/>
      <c r="M14" s="13"/>
      <c r="N14" s="40">
        <f>SUM(B14:M14)</f>
        <v>211.35000000000002</v>
      </c>
      <c r="O14" s="41"/>
      <c r="P14" s="12"/>
      <c r="Q14" s="16"/>
      <c r="R14" s="12"/>
      <c r="S14" s="12"/>
      <c r="T14" s="12"/>
      <c r="U14" s="12"/>
      <c r="V14" s="12"/>
      <c r="W14" s="12"/>
    </row>
    <row r="15" spans="1:26" ht="14.25" customHeight="1">
      <c r="A15" s="41"/>
      <c r="B15" s="40">
        <f>SUM(B10:B14)</f>
        <v>505.07</v>
      </c>
      <c r="C15" s="40">
        <f t="shared" ref="C15:M15" si="0">SUM(C10:C14)</f>
        <v>2046.8700000000001</v>
      </c>
      <c r="D15" s="40">
        <f t="shared" si="0"/>
        <v>259.05</v>
      </c>
      <c r="E15" s="40">
        <f t="shared" si="0"/>
        <v>88.710000000000008</v>
      </c>
      <c r="F15" s="40">
        <f t="shared" si="0"/>
        <v>41.26</v>
      </c>
      <c r="G15" s="40">
        <f t="shared" si="0"/>
        <v>41.26</v>
      </c>
      <c r="H15" s="40">
        <f t="shared" si="0"/>
        <v>41.26</v>
      </c>
      <c r="I15" s="40">
        <f t="shared" si="0"/>
        <v>41.26</v>
      </c>
      <c r="J15" s="40">
        <f t="shared" si="0"/>
        <v>41.26</v>
      </c>
      <c r="K15" s="40">
        <f t="shared" si="0"/>
        <v>41.26</v>
      </c>
      <c r="L15" s="40">
        <f t="shared" si="0"/>
        <v>41.26</v>
      </c>
      <c r="M15" s="40">
        <f t="shared" si="0"/>
        <v>41.26</v>
      </c>
      <c r="N15" s="40">
        <f>SUM(N10:N14)</f>
        <v>3229.7800000000016</v>
      </c>
      <c r="O15" s="41"/>
      <c r="P15" s="12"/>
      <c r="Q15" s="16"/>
      <c r="R15" s="12"/>
      <c r="S15" s="12"/>
      <c r="T15" s="12"/>
      <c r="U15" s="12"/>
      <c r="V15" s="12"/>
      <c r="W15" s="12"/>
    </row>
    <row r="16" spans="1:26" ht="14.25" customHeight="1">
      <c r="A16" s="24" t="s">
        <v>31</v>
      </c>
      <c r="B16" s="25" t="s">
        <v>1</v>
      </c>
      <c r="C16" s="25" t="s">
        <v>2</v>
      </c>
      <c r="D16" s="25" t="s">
        <v>3</v>
      </c>
      <c r="E16" s="25" t="s">
        <v>4</v>
      </c>
      <c r="F16" s="25" t="s">
        <v>5</v>
      </c>
      <c r="G16" s="25" t="s">
        <v>6</v>
      </c>
      <c r="H16" s="25" t="s">
        <v>7</v>
      </c>
      <c r="I16" s="25" t="s">
        <v>8</v>
      </c>
      <c r="J16" s="25" t="s">
        <v>9</v>
      </c>
      <c r="K16" s="25" t="s">
        <v>10</v>
      </c>
      <c r="L16" s="25" t="s">
        <v>11</v>
      </c>
      <c r="M16" s="25" t="s">
        <v>12</v>
      </c>
      <c r="N16" s="38" t="s">
        <v>13</v>
      </c>
      <c r="O16" s="39" t="s">
        <v>14</v>
      </c>
      <c r="P16" s="12"/>
      <c r="Q16" s="12"/>
      <c r="R16" s="12"/>
      <c r="S16" s="12"/>
      <c r="T16" s="12"/>
      <c r="U16" s="12"/>
      <c r="V16" s="12"/>
      <c r="W16" s="12"/>
    </row>
    <row r="17" spans="1:26" ht="14.25" customHeight="1">
      <c r="A17" s="15" t="s">
        <v>32</v>
      </c>
      <c r="B17" s="18">
        <f>31.8 + 37.71</f>
        <v>69.510000000000005</v>
      </c>
      <c r="C17" s="18"/>
      <c r="D17" s="18">
        <f>100</f>
        <v>100</v>
      </c>
      <c r="E17" s="18">
        <f>37.71 + 31.8</f>
        <v>69.510000000000005</v>
      </c>
      <c r="F17" s="18"/>
      <c r="G17" s="18"/>
      <c r="H17" s="18"/>
      <c r="I17" s="18"/>
      <c r="J17" s="18"/>
      <c r="K17" s="18"/>
      <c r="L17" s="18"/>
      <c r="M17" s="18"/>
      <c r="N17" s="40">
        <f>SUM(B17:M17)</f>
        <v>239.01999999999998</v>
      </c>
      <c r="O17" s="41"/>
      <c r="P17" s="12"/>
      <c r="Q17" s="16"/>
      <c r="R17" s="16"/>
      <c r="S17" s="12"/>
      <c r="T17" s="12"/>
      <c r="U17" s="12"/>
      <c r="V17" s="12"/>
      <c r="W17" s="12"/>
    </row>
    <row r="18" spans="1:26" ht="14.25" customHeight="1">
      <c r="A18" s="15" t="s">
        <v>33</v>
      </c>
      <c r="B18" s="18">
        <f>64.72</f>
        <v>64.72</v>
      </c>
      <c r="C18" s="18">
        <f>93.45 + 31.81</f>
        <v>125.26</v>
      </c>
      <c r="D18" s="18"/>
      <c r="E18" s="18">
        <f xml:space="preserve"> 14.68</f>
        <v>14.68</v>
      </c>
      <c r="F18" s="18"/>
      <c r="G18" s="18"/>
      <c r="H18" s="18"/>
      <c r="I18" s="18"/>
      <c r="J18" s="18"/>
      <c r="K18" s="18"/>
      <c r="L18" s="18"/>
      <c r="M18" s="18"/>
      <c r="N18" s="40">
        <f t="shared" ref="N18:N22" si="1">SUM(B18:M18)</f>
        <v>204.66000000000003</v>
      </c>
      <c r="O18" s="41"/>
      <c r="P18" s="12"/>
      <c r="Q18" s="16"/>
      <c r="R18" s="12"/>
      <c r="S18" s="12"/>
      <c r="T18" s="12"/>
      <c r="U18" s="12"/>
      <c r="V18" s="12"/>
      <c r="W18" s="12"/>
      <c r="X18" s="12"/>
      <c r="Y18" s="12"/>
    </row>
    <row r="19" spans="1:26" ht="14.25" customHeight="1">
      <c r="A19" s="15" t="s">
        <v>34</v>
      </c>
      <c r="B19" s="18">
        <f>12.96</f>
        <v>12.96</v>
      </c>
      <c r="C19" s="18">
        <f>49</f>
        <v>49</v>
      </c>
      <c r="D19" s="18">
        <f>73.72</f>
        <v>73.72</v>
      </c>
      <c r="E19" s="18">
        <v>671.65</v>
      </c>
      <c r="F19" s="18"/>
      <c r="G19" s="18"/>
      <c r="H19" s="18"/>
      <c r="I19" s="18"/>
      <c r="J19" s="18"/>
      <c r="K19" s="18"/>
      <c r="L19" s="18"/>
      <c r="M19" s="18"/>
      <c r="N19" s="40">
        <f t="shared" si="1"/>
        <v>807.32999999999993</v>
      </c>
      <c r="O19" s="41"/>
      <c r="P19" s="12"/>
      <c r="Q19" s="12"/>
      <c r="R19" s="12"/>
      <c r="S19" s="12"/>
      <c r="T19" s="12"/>
      <c r="U19" s="12"/>
      <c r="V19" s="12"/>
      <c r="W19" s="12"/>
      <c r="X19" s="12"/>
    </row>
    <row r="20" spans="1:26" ht="14.25" customHeight="1">
      <c r="A20" s="15" t="s">
        <v>35</v>
      </c>
      <c r="B20" s="18">
        <f>27.46</f>
        <v>27.46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40">
        <f t="shared" si="1"/>
        <v>27.46</v>
      </c>
      <c r="O20" s="41"/>
      <c r="P20" s="12"/>
      <c r="Q20" s="12"/>
      <c r="R20" s="12"/>
      <c r="S20" s="12"/>
      <c r="T20" s="12"/>
      <c r="U20" s="12"/>
      <c r="V20" s="12"/>
      <c r="W20" s="12"/>
      <c r="X20" s="12"/>
    </row>
    <row r="21" spans="1:26" ht="14.25" customHeight="1">
      <c r="A21" s="15" t="s">
        <v>36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40">
        <f t="shared" si="1"/>
        <v>0</v>
      </c>
      <c r="O21" s="41"/>
      <c r="P21" s="12"/>
      <c r="Q21" s="12"/>
      <c r="R21" s="12"/>
      <c r="S21" s="12"/>
      <c r="T21" s="12"/>
      <c r="U21" s="12"/>
      <c r="V21" s="12"/>
      <c r="W21" s="12"/>
      <c r="X21" s="12"/>
    </row>
    <row r="22" spans="1:26" ht="14.25" customHeight="1">
      <c r="A22" s="15" t="s">
        <v>30</v>
      </c>
      <c r="B22" s="13"/>
      <c r="C22" s="13">
        <f>10</f>
        <v>10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40">
        <f t="shared" si="1"/>
        <v>10</v>
      </c>
      <c r="O22" s="41"/>
      <c r="P22" s="12"/>
      <c r="Q22" s="12"/>
      <c r="R22" s="12"/>
      <c r="S22" s="12"/>
      <c r="T22" s="12"/>
      <c r="U22" s="12"/>
      <c r="V22" s="12"/>
      <c r="W22" s="12"/>
      <c r="X22" s="12"/>
    </row>
    <row r="23" spans="1:26" ht="14.25" customHeight="1">
      <c r="A23" s="41"/>
      <c r="B23" s="40">
        <f>SUM(B17:B22)</f>
        <v>174.65000000000003</v>
      </c>
      <c r="C23" s="40">
        <f t="shared" ref="C23:M23" si="2">SUM(C17:C22)</f>
        <v>184.26</v>
      </c>
      <c r="D23" s="40">
        <f t="shared" si="2"/>
        <v>173.72</v>
      </c>
      <c r="E23" s="40">
        <f t="shared" si="2"/>
        <v>755.83999999999992</v>
      </c>
      <c r="F23" s="40">
        <f t="shared" si="2"/>
        <v>0</v>
      </c>
      <c r="G23" s="40">
        <f t="shared" si="2"/>
        <v>0</v>
      </c>
      <c r="H23" s="40">
        <f t="shared" si="2"/>
        <v>0</v>
      </c>
      <c r="I23" s="40">
        <f t="shared" si="2"/>
        <v>0</v>
      </c>
      <c r="J23" s="40">
        <f t="shared" si="2"/>
        <v>0</v>
      </c>
      <c r="K23" s="40">
        <f t="shared" si="2"/>
        <v>0</v>
      </c>
      <c r="L23" s="40">
        <f t="shared" si="2"/>
        <v>0</v>
      </c>
      <c r="M23" s="40">
        <f t="shared" si="2"/>
        <v>0</v>
      </c>
      <c r="N23" s="40">
        <f>SUM(N17:N22)</f>
        <v>1288.47</v>
      </c>
      <c r="O23" s="41"/>
      <c r="P23" s="12"/>
      <c r="Q23" s="12"/>
      <c r="R23" s="12"/>
      <c r="S23" s="12"/>
      <c r="T23" s="12"/>
      <c r="U23" s="12"/>
      <c r="V23" s="12"/>
      <c r="W23" s="12"/>
      <c r="X23" s="12"/>
    </row>
    <row r="24" spans="1:26" ht="14.25" customHeight="1">
      <c r="A24" s="24" t="s">
        <v>37</v>
      </c>
      <c r="B24" s="25" t="s">
        <v>1</v>
      </c>
      <c r="C24" s="25" t="s">
        <v>2</v>
      </c>
      <c r="D24" s="25" t="s">
        <v>3</v>
      </c>
      <c r="E24" s="25" t="s">
        <v>4</v>
      </c>
      <c r="F24" s="25" t="s">
        <v>5</v>
      </c>
      <c r="G24" s="25" t="s">
        <v>6</v>
      </c>
      <c r="H24" s="25" t="s">
        <v>7</v>
      </c>
      <c r="I24" s="25" t="s">
        <v>8</v>
      </c>
      <c r="J24" s="25" t="s">
        <v>9</v>
      </c>
      <c r="K24" s="25" t="s">
        <v>10</v>
      </c>
      <c r="L24" s="25" t="s">
        <v>11</v>
      </c>
      <c r="M24" s="25" t="s">
        <v>12</v>
      </c>
      <c r="N24" s="38" t="s">
        <v>13</v>
      </c>
      <c r="O24" s="39" t="s">
        <v>14</v>
      </c>
      <c r="P24" s="12"/>
      <c r="Q24" s="12"/>
      <c r="R24" s="12"/>
      <c r="S24" s="12"/>
      <c r="T24" s="12"/>
      <c r="U24" s="12"/>
      <c r="V24" s="12"/>
      <c r="W24" s="12"/>
      <c r="X24" s="12"/>
    </row>
    <row r="25" spans="1:26" ht="14.25" customHeight="1">
      <c r="A25" s="15" t="s">
        <v>38</v>
      </c>
      <c r="B25" s="13">
        <v>2</v>
      </c>
      <c r="C25" s="13">
        <v>2</v>
      </c>
      <c r="D25" s="13">
        <v>2</v>
      </c>
      <c r="E25" s="13">
        <v>2</v>
      </c>
      <c r="F25" s="13">
        <v>2</v>
      </c>
      <c r="G25" s="13">
        <v>2</v>
      </c>
      <c r="H25" s="13">
        <v>2</v>
      </c>
      <c r="I25" s="13">
        <v>2</v>
      </c>
      <c r="J25" s="13">
        <v>2</v>
      </c>
      <c r="K25" s="13">
        <v>2</v>
      </c>
      <c r="L25" s="13">
        <v>2</v>
      </c>
      <c r="M25" s="13">
        <v>2</v>
      </c>
      <c r="N25" s="40">
        <f>SUM(B25:M25)</f>
        <v>24</v>
      </c>
      <c r="O25" s="41"/>
      <c r="P25" s="12"/>
      <c r="Q25" s="12"/>
      <c r="R25" s="12"/>
      <c r="S25" s="12"/>
      <c r="T25" s="12"/>
      <c r="U25" s="12"/>
      <c r="V25" s="12"/>
      <c r="W25" s="12"/>
      <c r="X25" s="12"/>
    </row>
    <row r="26" spans="1:26" ht="14.25" customHeight="1">
      <c r="A26" s="15" t="s">
        <v>39</v>
      </c>
      <c r="B26" s="13">
        <f>15 + 28.2</f>
        <v>43.2</v>
      </c>
      <c r="C26" s="13">
        <f>15</f>
        <v>15</v>
      </c>
      <c r="D26" s="13"/>
      <c r="E26" s="13">
        <f xml:space="preserve"> 10.98</f>
        <v>10.98</v>
      </c>
      <c r="F26" s="13"/>
      <c r="G26" s="13"/>
      <c r="H26" s="13"/>
      <c r="I26" s="13"/>
      <c r="J26" s="13"/>
      <c r="K26" s="13"/>
      <c r="L26" s="13"/>
      <c r="M26" s="13"/>
      <c r="N26" s="40">
        <f t="shared" ref="N26:N27" si="3">SUM(B26:M26)</f>
        <v>69.180000000000007</v>
      </c>
      <c r="O26" s="41"/>
      <c r="P26" s="12"/>
      <c r="Q26" s="12"/>
      <c r="R26" s="12"/>
      <c r="S26" s="12"/>
      <c r="T26" s="12"/>
      <c r="U26" s="12"/>
      <c r="V26" s="12"/>
      <c r="W26" s="12"/>
      <c r="X26" s="12"/>
    </row>
    <row r="27" spans="1:26" ht="14.25" customHeight="1">
      <c r="A27" s="15" t="s">
        <v>30</v>
      </c>
      <c r="B27" s="13">
        <f>3</f>
        <v>3</v>
      </c>
      <c r="C27" s="13"/>
      <c r="D27" s="13"/>
      <c r="E27" s="13"/>
      <c r="F27" s="13"/>
      <c r="G27" s="13"/>
      <c r="H27" s="13"/>
      <c r="I27" s="13"/>
      <c r="J27" s="13"/>
      <c r="K27" s="13"/>
      <c r="L27" s="17"/>
      <c r="M27" s="13"/>
      <c r="N27" s="40">
        <f t="shared" si="3"/>
        <v>3</v>
      </c>
      <c r="O27" s="41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4.25" customHeight="1">
      <c r="A28" s="41"/>
      <c r="B28" s="42">
        <f>SUM(B25:B27)</f>
        <v>48.2</v>
      </c>
      <c r="C28" s="42">
        <f t="shared" ref="C28:M28" si="4">SUM(C25:C27)</f>
        <v>17</v>
      </c>
      <c r="D28" s="42">
        <f t="shared" si="4"/>
        <v>2</v>
      </c>
      <c r="E28" s="42">
        <f t="shared" si="4"/>
        <v>12.98</v>
      </c>
      <c r="F28" s="42">
        <f t="shared" si="4"/>
        <v>2</v>
      </c>
      <c r="G28" s="42">
        <f t="shared" si="4"/>
        <v>2</v>
      </c>
      <c r="H28" s="42">
        <f t="shared" si="4"/>
        <v>2</v>
      </c>
      <c r="I28" s="42">
        <f t="shared" si="4"/>
        <v>2</v>
      </c>
      <c r="J28" s="42">
        <f t="shared" si="4"/>
        <v>2</v>
      </c>
      <c r="K28" s="42">
        <f t="shared" si="4"/>
        <v>2</v>
      </c>
      <c r="L28" s="42">
        <f t="shared" si="4"/>
        <v>2</v>
      </c>
      <c r="M28" s="42">
        <f t="shared" si="4"/>
        <v>2</v>
      </c>
      <c r="N28" s="40">
        <f>SUM(N25:N27)</f>
        <v>96.18</v>
      </c>
      <c r="O28" s="41"/>
      <c r="P28" s="12"/>
      <c r="Q28" s="12"/>
      <c r="R28" s="12"/>
      <c r="S28" s="12"/>
      <c r="T28" s="12"/>
      <c r="U28" s="12"/>
      <c r="V28" s="12"/>
      <c r="W28" s="12"/>
      <c r="X28" s="12"/>
    </row>
    <row r="29" spans="1:26" ht="14.25" customHeight="1">
      <c r="A29" s="24" t="s">
        <v>40</v>
      </c>
      <c r="B29" s="25" t="s">
        <v>1</v>
      </c>
      <c r="C29" s="25" t="s">
        <v>2</v>
      </c>
      <c r="D29" s="25" t="s">
        <v>3</v>
      </c>
      <c r="E29" s="25" t="s">
        <v>4</v>
      </c>
      <c r="F29" s="25" t="s">
        <v>5</v>
      </c>
      <c r="G29" s="25" t="s">
        <v>6</v>
      </c>
      <c r="H29" s="25" t="s">
        <v>7</v>
      </c>
      <c r="I29" s="25" t="s">
        <v>8</v>
      </c>
      <c r="J29" s="25" t="s">
        <v>9</v>
      </c>
      <c r="K29" s="25" t="s">
        <v>10</v>
      </c>
      <c r="L29" s="25" t="s">
        <v>11</v>
      </c>
      <c r="M29" s="25" t="s">
        <v>12</v>
      </c>
      <c r="N29" s="38" t="s">
        <v>13</v>
      </c>
      <c r="O29" s="39" t="s">
        <v>14</v>
      </c>
      <c r="P29" s="12"/>
      <c r="Q29" s="12"/>
      <c r="R29" s="12"/>
      <c r="S29" s="12"/>
      <c r="T29" s="12"/>
      <c r="U29" s="12"/>
      <c r="V29" s="12"/>
      <c r="W29" s="12"/>
      <c r="X29" s="12"/>
    </row>
    <row r="30" spans="1:26" ht="14.25" customHeight="1">
      <c r="A30" s="15" t="s">
        <v>41</v>
      </c>
      <c r="B30" s="18">
        <f>10.48 + 3.49 + 3.61 + 5.34 + 9.02 + 7.58 + 10.14 + 6.49 + 9.78 + 44.06 + 1.07 + 5.24 + 14.85</f>
        <v>131.15</v>
      </c>
      <c r="C30" s="18">
        <f>10.15 + 7.03 + 17.92 + 15.48 + 5.28 + 33.37 + 6.56</f>
        <v>95.789999999999992</v>
      </c>
      <c r="D30" s="18">
        <f>10.77 + 2.4 + 13.71 + 39.3 + 3.49 + 7.51 + 11.62</f>
        <v>88.800000000000011</v>
      </c>
      <c r="E30" s="18">
        <f>8.92 + 13.07 + 9.5 + 18.5</f>
        <v>49.99</v>
      </c>
      <c r="F30" s="18"/>
      <c r="G30" s="18"/>
      <c r="H30" s="18"/>
      <c r="I30" s="18"/>
      <c r="J30" s="18"/>
      <c r="K30" s="18"/>
      <c r="L30" s="18"/>
      <c r="M30" s="18"/>
      <c r="N30" s="40">
        <f>SUM(B30:M30)</f>
        <v>365.73</v>
      </c>
      <c r="O30" s="41"/>
      <c r="P30" s="12"/>
      <c r="Q30" s="12"/>
      <c r="R30" s="12"/>
      <c r="S30" s="12"/>
      <c r="T30" s="12"/>
      <c r="U30" s="12"/>
      <c r="V30" s="12"/>
      <c r="W30" s="12"/>
      <c r="X30" s="12"/>
    </row>
    <row r="31" spans="1:26" ht="14.25" customHeight="1">
      <c r="A31" s="15" t="s">
        <v>42</v>
      </c>
      <c r="B31" s="18">
        <v>15</v>
      </c>
      <c r="C31" s="18">
        <v>15</v>
      </c>
      <c r="D31" s="18">
        <v>15</v>
      </c>
      <c r="E31" s="18">
        <v>15</v>
      </c>
      <c r="F31" s="18">
        <v>15</v>
      </c>
      <c r="G31" s="18">
        <v>15</v>
      </c>
      <c r="H31" s="18">
        <v>15</v>
      </c>
      <c r="I31" s="18">
        <v>15</v>
      </c>
      <c r="J31" s="18">
        <v>15</v>
      </c>
      <c r="K31" s="18">
        <v>15</v>
      </c>
      <c r="L31" s="18">
        <v>15</v>
      </c>
      <c r="M31" s="18">
        <v>15</v>
      </c>
      <c r="N31" s="40">
        <f t="shared" ref="N31:N37" si="5">SUM(B31:M31)</f>
        <v>180</v>
      </c>
      <c r="O31" s="41"/>
      <c r="P31" s="12"/>
      <c r="Q31" s="12"/>
      <c r="R31" s="12"/>
      <c r="S31" s="12"/>
      <c r="T31" s="12"/>
      <c r="U31" s="12"/>
      <c r="V31" s="12"/>
      <c r="W31" s="12"/>
      <c r="X31" s="12"/>
    </row>
    <row r="32" spans="1:26" ht="14.25" customHeight="1">
      <c r="A32" s="15" t="s">
        <v>43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40">
        <f t="shared" si="5"/>
        <v>0</v>
      </c>
      <c r="O32" s="41"/>
      <c r="P32" s="12"/>
      <c r="Q32" s="12"/>
      <c r="R32" s="12"/>
      <c r="S32" s="12"/>
      <c r="T32" s="12"/>
      <c r="U32" s="12"/>
      <c r="V32" s="12"/>
      <c r="W32" s="12"/>
      <c r="X32" s="12"/>
    </row>
    <row r="33" spans="1:26" ht="14.25" customHeight="1">
      <c r="A33" s="15" t="s">
        <v>44</v>
      </c>
      <c r="B33" s="18">
        <f>13.04 + 14.09 + 77.09 + 12.95 + 1.47 + 8.52 + 4.5 + 8 + 28.91 + 40 + 16</f>
        <v>224.57</v>
      </c>
      <c r="C33" s="18">
        <f>40</f>
        <v>40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40">
        <f t="shared" si="5"/>
        <v>264.57</v>
      </c>
      <c r="O33" s="41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.25" customHeight="1">
      <c r="A34" s="15" t="s">
        <v>45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40">
        <f t="shared" si="5"/>
        <v>0</v>
      </c>
      <c r="O34" s="41"/>
      <c r="P34" s="12"/>
      <c r="Q34" s="12"/>
      <c r="R34" s="12"/>
      <c r="S34" s="12"/>
      <c r="T34" s="12"/>
      <c r="U34" s="12"/>
      <c r="V34" s="12"/>
      <c r="W34" s="12"/>
      <c r="X34" s="12"/>
    </row>
    <row r="35" spans="1:26" ht="14.25" customHeight="1">
      <c r="A35" s="15" t="s">
        <v>46</v>
      </c>
      <c r="B35" s="18">
        <f>29.95</f>
        <v>29.95</v>
      </c>
      <c r="C35" s="18">
        <f>16</f>
        <v>16</v>
      </c>
      <c r="D35" s="18">
        <f>12.99</f>
        <v>12.99</v>
      </c>
      <c r="E35" s="18"/>
      <c r="F35" s="18"/>
      <c r="G35" s="18"/>
      <c r="H35" s="18"/>
      <c r="I35" s="18"/>
      <c r="J35" s="18"/>
      <c r="K35" s="18"/>
      <c r="L35" s="18"/>
      <c r="M35" s="18"/>
      <c r="N35" s="40">
        <f t="shared" si="5"/>
        <v>58.940000000000005</v>
      </c>
      <c r="O35" s="41"/>
      <c r="P35" s="12"/>
      <c r="Q35" s="12"/>
      <c r="R35" s="12"/>
      <c r="S35" s="12"/>
      <c r="T35" s="12"/>
      <c r="U35" s="12"/>
      <c r="V35" s="12"/>
      <c r="W35" s="12"/>
      <c r="X35" s="12"/>
    </row>
    <row r="36" spans="1:26" ht="14.25" customHeight="1">
      <c r="A36" s="15" t="s">
        <v>47</v>
      </c>
      <c r="B36" s="19"/>
      <c r="C36" s="19">
        <f>25</f>
        <v>25</v>
      </c>
      <c r="D36" s="19">
        <f>15</f>
        <v>15</v>
      </c>
      <c r="E36" s="19"/>
      <c r="F36" s="19"/>
      <c r="G36" s="19"/>
      <c r="H36" s="19"/>
      <c r="I36" s="19"/>
      <c r="J36" s="19"/>
      <c r="K36" s="19"/>
      <c r="L36" s="19"/>
      <c r="M36" s="19"/>
      <c r="N36" s="40">
        <f t="shared" si="5"/>
        <v>40</v>
      </c>
      <c r="O36" s="41"/>
      <c r="P36" s="12"/>
      <c r="Q36" s="12"/>
      <c r="R36" s="12"/>
      <c r="S36" s="12"/>
      <c r="T36" s="12"/>
      <c r="U36" s="12"/>
      <c r="V36" s="12"/>
      <c r="W36" s="12"/>
      <c r="X36" s="12"/>
    </row>
    <row r="37" spans="1:26" ht="14.25" customHeight="1">
      <c r="A37" s="15" t="s">
        <v>30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40">
        <f t="shared" si="5"/>
        <v>0</v>
      </c>
      <c r="O37" s="41"/>
      <c r="P37" s="12"/>
      <c r="Q37" s="12"/>
      <c r="R37" s="12"/>
      <c r="S37" s="12"/>
      <c r="T37" s="12"/>
      <c r="U37" s="12"/>
      <c r="V37" s="12"/>
      <c r="W37" s="12"/>
      <c r="X37" s="12"/>
    </row>
    <row r="38" spans="1:26" ht="14.25" customHeight="1">
      <c r="A38" s="41"/>
      <c r="B38" s="40">
        <f>SUM(B30:B37)</f>
        <v>400.67</v>
      </c>
      <c r="C38" s="40">
        <f t="shared" ref="C38:M38" si="6">SUM(C30:C37)</f>
        <v>191.79</v>
      </c>
      <c r="D38" s="40">
        <f t="shared" si="6"/>
        <v>131.79000000000002</v>
      </c>
      <c r="E38" s="40">
        <f t="shared" si="6"/>
        <v>64.990000000000009</v>
      </c>
      <c r="F38" s="40">
        <f t="shared" si="6"/>
        <v>15</v>
      </c>
      <c r="G38" s="40">
        <f t="shared" si="6"/>
        <v>15</v>
      </c>
      <c r="H38" s="40">
        <f t="shared" si="6"/>
        <v>15</v>
      </c>
      <c r="I38" s="40">
        <f t="shared" si="6"/>
        <v>15</v>
      </c>
      <c r="J38" s="40">
        <f t="shared" si="6"/>
        <v>15</v>
      </c>
      <c r="K38" s="40">
        <f t="shared" si="6"/>
        <v>15</v>
      </c>
      <c r="L38" s="40">
        <f t="shared" si="6"/>
        <v>15</v>
      </c>
      <c r="M38" s="40">
        <f t="shared" si="6"/>
        <v>15</v>
      </c>
      <c r="N38" s="40">
        <f>SUM(N30:N37)</f>
        <v>909.24</v>
      </c>
      <c r="O38" s="41"/>
      <c r="P38" s="12"/>
      <c r="Q38" s="12"/>
      <c r="R38" s="12"/>
      <c r="S38" s="12"/>
      <c r="T38" s="12"/>
      <c r="U38" s="12"/>
      <c r="V38" s="12"/>
      <c r="W38" s="12"/>
      <c r="X38" s="12"/>
    </row>
    <row r="39" spans="1:26" ht="14.25" customHeight="1">
      <c r="A39" s="24" t="s">
        <v>48</v>
      </c>
      <c r="B39" s="25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38" t="s">
        <v>13</v>
      </c>
      <c r="O39" s="39" t="s">
        <v>14</v>
      </c>
      <c r="P39" s="12"/>
      <c r="Q39" s="12"/>
      <c r="R39" s="12"/>
      <c r="S39" s="12"/>
      <c r="T39" s="12"/>
      <c r="U39" s="12"/>
      <c r="V39" s="12"/>
      <c r="W39" s="12"/>
      <c r="X39" s="12"/>
    </row>
    <row r="40" spans="1:26" ht="14.25" customHeight="1">
      <c r="A40" s="15" t="s">
        <v>49</v>
      </c>
      <c r="B40" s="20">
        <v>170</v>
      </c>
      <c r="C40" s="21">
        <f>13</f>
        <v>13</v>
      </c>
      <c r="D40" s="21">
        <f>35.1 + 7 + 2.04 + 26.1 + 3 + 25.5</f>
        <v>98.740000000000009</v>
      </c>
      <c r="E40" s="21">
        <f xml:space="preserve"> 13.1 + 1.5 + 15.38 + 27</f>
        <v>56.980000000000004</v>
      </c>
      <c r="F40" s="21"/>
      <c r="G40" s="21"/>
      <c r="H40" s="21"/>
      <c r="I40" s="21"/>
      <c r="J40" s="21"/>
      <c r="K40" s="21"/>
      <c r="L40" s="21"/>
      <c r="M40" s="21"/>
      <c r="N40" s="40">
        <f>SUM(B40:M40)</f>
        <v>338.72</v>
      </c>
      <c r="O40" s="41"/>
      <c r="P40" s="12"/>
      <c r="Q40" s="12"/>
      <c r="R40" s="12"/>
      <c r="S40" s="12"/>
      <c r="T40" s="12"/>
      <c r="U40" s="12"/>
      <c r="V40" s="12"/>
      <c r="W40" s="12"/>
      <c r="X40" s="12"/>
    </row>
    <row r="41" spans="1:26" ht="14.25" customHeight="1">
      <c r="A41" s="15" t="s">
        <v>50</v>
      </c>
      <c r="B41" s="23">
        <f>24</f>
        <v>24</v>
      </c>
      <c r="C41" s="22">
        <f>51</f>
        <v>51</v>
      </c>
      <c r="D41" s="22">
        <f>9.5</f>
        <v>9.5</v>
      </c>
      <c r="E41" s="22">
        <f>0.89 + 19.6</f>
        <v>20.490000000000002</v>
      </c>
      <c r="F41" s="22"/>
      <c r="G41" s="22"/>
      <c r="H41" s="22"/>
      <c r="I41" s="22"/>
      <c r="J41" s="22"/>
      <c r="K41" s="22"/>
      <c r="L41" s="22"/>
      <c r="M41" s="22"/>
      <c r="N41" s="40">
        <f t="shared" ref="N41:N54" si="7">SUM(B41:M41)</f>
        <v>104.99000000000001</v>
      </c>
      <c r="O41" s="41"/>
      <c r="P41" s="12"/>
      <c r="Q41" s="12"/>
      <c r="R41" s="12"/>
      <c r="S41" s="12"/>
      <c r="T41" s="12"/>
      <c r="U41" s="12"/>
      <c r="V41" s="12"/>
      <c r="W41" s="12"/>
      <c r="X41" s="12"/>
    </row>
    <row r="42" spans="1:26" ht="14.25" customHeight="1">
      <c r="A42" s="15" t="s">
        <v>51</v>
      </c>
      <c r="B42" s="23">
        <v>9</v>
      </c>
      <c r="C42" s="22">
        <f>12</f>
        <v>12</v>
      </c>
      <c r="D42" s="22">
        <f>4.6 + 3.7 + 1 + 3.2 + 2.7</f>
        <v>15.2</v>
      </c>
      <c r="E42" s="22">
        <f xml:space="preserve"> 2.7</f>
        <v>2.7</v>
      </c>
      <c r="F42" s="22"/>
      <c r="G42" s="22"/>
      <c r="H42" s="22"/>
      <c r="I42" s="22"/>
      <c r="J42" s="22"/>
      <c r="K42" s="22"/>
      <c r="L42" s="22"/>
      <c r="M42" s="22"/>
      <c r="N42" s="40">
        <f t="shared" si="7"/>
        <v>38.900000000000006</v>
      </c>
      <c r="O42" s="41"/>
      <c r="P42" s="12"/>
      <c r="Q42" s="12"/>
      <c r="R42" s="12"/>
      <c r="S42" s="12"/>
      <c r="T42" s="12"/>
      <c r="U42" s="12"/>
      <c r="V42" s="12"/>
      <c r="W42" s="12"/>
      <c r="X42" s="12"/>
    </row>
    <row r="43" spans="1:26" ht="14.25" customHeight="1">
      <c r="A43" s="15" t="s">
        <v>52</v>
      </c>
      <c r="B43" s="23">
        <f>16 + 145.3</f>
        <v>161.30000000000001</v>
      </c>
      <c r="C43" s="22"/>
      <c r="D43" s="22">
        <f>17</f>
        <v>17</v>
      </c>
      <c r="E43" s="22">
        <f xml:space="preserve"> 29.95</f>
        <v>29.95</v>
      </c>
      <c r="F43" s="22"/>
      <c r="G43" s="22"/>
      <c r="H43" s="22"/>
      <c r="I43" s="22"/>
      <c r="J43" s="22"/>
      <c r="K43" s="22"/>
      <c r="L43" s="22"/>
      <c r="M43" s="22"/>
      <c r="N43" s="40">
        <f t="shared" si="7"/>
        <v>208.25</v>
      </c>
      <c r="O43" s="41"/>
      <c r="P43" s="12"/>
      <c r="Q43" s="12"/>
      <c r="R43" s="12"/>
      <c r="S43" s="12"/>
      <c r="T43" s="12"/>
      <c r="U43" s="12"/>
      <c r="V43" s="12"/>
      <c r="W43" s="12"/>
      <c r="X43" s="12"/>
    </row>
    <row r="44" spans="1:26" ht="14.25" customHeight="1">
      <c r="A44" s="15" t="s">
        <v>53</v>
      </c>
      <c r="B44" s="13">
        <f>12.98</f>
        <v>12.98</v>
      </c>
      <c r="C44" s="13"/>
      <c r="D44" s="13"/>
      <c r="E44" s="13">
        <f>25</f>
        <v>25</v>
      </c>
      <c r="F44" s="13"/>
      <c r="G44" s="13"/>
      <c r="H44" s="13"/>
      <c r="I44" s="13"/>
      <c r="J44" s="13"/>
      <c r="K44" s="13"/>
      <c r="L44" s="13"/>
      <c r="M44" s="13"/>
      <c r="N44" s="40">
        <f t="shared" si="7"/>
        <v>37.980000000000004</v>
      </c>
      <c r="O44" s="41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4.25" customHeight="1">
      <c r="A45" s="15" t="s">
        <v>54</v>
      </c>
      <c r="B45" s="13">
        <f>12.57 + 6.82</f>
        <v>19.39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40">
        <f t="shared" si="7"/>
        <v>19.39</v>
      </c>
      <c r="O45" s="41"/>
      <c r="P45" s="12"/>
      <c r="Q45" s="12"/>
      <c r="R45" s="12"/>
      <c r="S45" s="12"/>
      <c r="T45" s="12"/>
      <c r="U45" s="12"/>
      <c r="V45" s="12"/>
      <c r="W45" s="12"/>
      <c r="X45" s="12"/>
    </row>
    <row r="46" spans="1:26" ht="14.25" customHeight="1">
      <c r="A46" s="15" t="s">
        <v>55</v>
      </c>
      <c r="B46" s="13">
        <f>11.1</f>
        <v>11.1</v>
      </c>
      <c r="C46" s="13">
        <f>55 + 30 + 38.2 + 63.75</f>
        <v>186.95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40">
        <f t="shared" si="7"/>
        <v>198.04999999999998</v>
      </c>
      <c r="O46" s="41"/>
      <c r="P46" s="12"/>
      <c r="Q46" s="12"/>
      <c r="R46" s="12"/>
      <c r="S46" s="12"/>
      <c r="T46" s="12"/>
      <c r="U46" s="12"/>
      <c r="V46" s="12"/>
      <c r="W46" s="12"/>
      <c r="X46" s="12"/>
    </row>
    <row r="47" spans="1:26" ht="14.25" customHeight="1">
      <c r="A47" s="15" t="s">
        <v>56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40">
        <f t="shared" si="7"/>
        <v>0</v>
      </c>
      <c r="O47" s="41"/>
      <c r="P47" s="12"/>
      <c r="Q47" s="12"/>
      <c r="R47" s="12"/>
      <c r="S47" s="12"/>
      <c r="T47" s="12"/>
      <c r="U47" s="12"/>
      <c r="V47" s="12"/>
      <c r="W47" s="12"/>
      <c r="X47" s="12"/>
    </row>
    <row r="48" spans="1:26" ht="14.25" customHeight="1">
      <c r="A48" s="15" t="s">
        <v>57</v>
      </c>
      <c r="B48" s="13">
        <f>18.9</f>
        <v>18.899999999999999</v>
      </c>
      <c r="C48" s="13"/>
      <c r="D48" s="13"/>
      <c r="E48" s="13">
        <f xml:space="preserve"> 28 + 52</f>
        <v>80</v>
      </c>
      <c r="F48" s="13"/>
      <c r="G48" s="13"/>
      <c r="H48" s="13"/>
      <c r="I48" s="13"/>
      <c r="J48" s="13"/>
      <c r="K48" s="13"/>
      <c r="L48" s="13"/>
      <c r="M48" s="13"/>
      <c r="N48" s="40">
        <f t="shared" si="7"/>
        <v>98.9</v>
      </c>
      <c r="O48" s="41"/>
      <c r="P48" s="12"/>
      <c r="Q48" s="12"/>
      <c r="R48" s="12"/>
      <c r="S48" s="12"/>
      <c r="T48" s="12"/>
      <c r="U48" s="12"/>
      <c r="V48" s="12"/>
      <c r="W48" s="12"/>
      <c r="X48" s="12"/>
    </row>
    <row r="49" spans="1:26" ht="14.25" customHeight="1">
      <c r="A49" s="15" t="s">
        <v>58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40">
        <f t="shared" si="7"/>
        <v>0</v>
      </c>
      <c r="O49" s="41"/>
      <c r="P49" s="12"/>
      <c r="Q49" s="12"/>
      <c r="R49" s="12"/>
      <c r="S49" s="12"/>
      <c r="T49" s="12"/>
      <c r="U49" s="12"/>
      <c r="V49" s="12"/>
      <c r="W49" s="12"/>
      <c r="X49" s="12"/>
    </row>
    <row r="50" spans="1:26" ht="14.25" customHeight="1">
      <c r="A50" s="15" t="s">
        <v>59</v>
      </c>
      <c r="B50" s="13">
        <v>5</v>
      </c>
      <c r="C50" s="13">
        <v>5</v>
      </c>
      <c r="D50" s="13">
        <v>5</v>
      </c>
      <c r="E50" s="13">
        <v>5</v>
      </c>
      <c r="F50" s="13">
        <v>5</v>
      </c>
      <c r="G50" s="13">
        <v>5</v>
      </c>
      <c r="H50" s="13">
        <v>5</v>
      </c>
      <c r="I50" s="13">
        <v>5</v>
      </c>
      <c r="J50" s="13">
        <v>5</v>
      </c>
      <c r="K50" s="13">
        <v>5</v>
      </c>
      <c r="L50" s="13">
        <v>5</v>
      </c>
      <c r="M50" s="13">
        <v>5</v>
      </c>
      <c r="N50" s="40">
        <f t="shared" si="7"/>
        <v>60</v>
      </c>
      <c r="O50" s="41"/>
      <c r="P50" s="12"/>
      <c r="Q50" s="12"/>
      <c r="R50" s="12"/>
      <c r="S50" s="12"/>
      <c r="T50" s="12"/>
      <c r="U50" s="12"/>
      <c r="V50" s="12"/>
      <c r="W50" s="12"/>
      <c r="X50" s="12"/>
    </row>
    <row r="51" spans="1:26" ht="14.25" customHeight="1">
      <c r="A51" s="15" t="s">
        <v>60</v>
      </c>
      <c r="B51" s="13">
        <f>52.29</f>
        <v>52.29</v>
      </c>
      <c r="C51" s="13">
        <f>12.55 + 6.44 + 6.49 + 14.9 + 7.15</f>
        <v>47.53</v>
      </c>
      <c r="D51" s="13">
        <f>24.1 + 2.95 + 4</f>
        <v>31.05</v>
      </c>
      <c r="E51" s="13"/>
      <c r="F51" s="13"/>
      <c r="G51" s="13"/>
      <c r="H51" s="13"/>
      <c r="I51" s="13"/>
      <c r="J51" s="13"/>
      <c r="K51" s="13"/>
      <c r="L51" s="13"/>
      <c r="M51" s="13"/>
      <c r="N51" s="40">
        <f t="shared" si="7"/>
        <v>130.87</v>
      </c>
      <c r="O51" s="41"/>
      <c r="P51" s="12"/>
      <c r="Q51" s="12"/>
      <c r="R51" s="12"/>
      <c r="S51" s="12"/>
      <c r="T51" s="12"/>
      <c r="U51" s="12"/>
      <c r="V51" s="12"/>
      <c r="W51" s="12"/>
      <c r="X51" s="12"/>
    </row>
    <row r="52" spans="1:26" ht="14.25" customHeight="1">
      <c r="A52" s="15" t="s">
        <v>61</v>
      </c>
      <c r="B52" s="13">
        <f>19.38</f>
        <v>19.38</v>
      </c>
      <c r="C52" s="13">
        <f>46.04 + 12.15 + 34.99 + 42.24</f>
        <v>135.42000000000002</v>
      </c>
      <c r="D52" s="13"/>
      <c r="E52" s="13">
        <f xml:space="preserve"> 42.93</f>
        <v>42.93</v>
      </c>
      <c r="F52" s="13"/>
      <c r="G52" s="13"/>
      <c r="H52" s="13"/>
      <c r="I52" s="13"/>
      <c r="J52" s="13"/>
      <c r="K52" s="13"/>
      <c r="L52" s="13"/>
      <c r="M52" s="13"/>
      <c r="N52" s="40">
        <f t="shared" si="7"/>
        <v>197.73000000000002</v>
      </c>
      <c r="O52" s="41"/>
      <c r="P52" s="12"/>
      <c r="Q52" s="12"/>
      <c r="R52" s="12"/>
      <c r="S52" s="12"/>
      <c r="T52" s="12"/>
      <c r="U52" s="12"/>
      <c r="V52" s="12"/>
      <c r="W52" s="12"/>
      <c r="X52" s="12"/>
    </row>
    <row r="53" spans="1:26" ht="14.25" customHeight="1">
      <c r="A53" s="15" t="s">
        <v>62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40">
        <f t="shared" si="7"/>
        <v>0</v>
      </c>
      <c r="O53" s="41"/>
      <c r="P53" s="12"/>
      <c r="Q53" s="12"/>
      <c r="R53" s="12"/>
      <c r="S53" s="12"/>
      <c r="T53" s="12"/>
      <c r="U53" s="12"/>
      <c r="V53" s="12"/>
      <c r="W53" s="12"/>
      <c r="X53" s="12"/>
    </row>
    <row r="54" spans="1:26" ht="14.25" customHeight="1">
      <c r="A54" s="15" t="s">
        <v>30</v>
      </c>
      <c r="B54" s="13">
        <f>20</f>
        <v>20</v>
      </c>
      <c r="C54" s="13">
        <f>13.64</f>
        <v>13.64</v>
      </c>
      <c r="D54" s="13">
        <f>50 + 50 + 11.5</f>
        <v>111.5</v>
      </c>
      <c r="E54" s="13"/>
      <c r="F54" s="13"/>
      <c r="G54" s="13"/>
      <c r="H54" s="13"/>
      <c r="I54" s="13"/>
      <c r="J54" s="13"/>
      <c r="K54" s="13"/>
      <c r="L54" s="13"/>
      <c r="M54" s="13"/>
      <c r="N54" s="40">
        <f t="shared" si="7"/>
        <v>145.13999999999999</v>
      </c>
      <c r="O54" s="41"/>
      <c r="P54" s="12"/>
      <c r="Q54" s="12"/>
      <c r="R54" s="12"/>
      <c r="S54" s="12"/>
      <c r="T54" s="12"/>
      <c r="U54" s="12"/>
      <c r="V54" s="12"/>
      <c r="W54" s="12"/>
      <c r="X54" s="12"/>
    </row>
    <row r="55" spans="1:26" ht="14.25" customHeight="1">
      <c r="A55" s="53"/>
      <c r="B55" s="40">
        <f>SUM(B40:B54)</f>
        <v>523.34</v>
      </c>
      <c r="C55" s="40">
        <f t="shared" ref="C55:M55" si="8">SUM(C40:C54)</f>
        <v>464.54</v>
      </c>
      <c r="D55" s="40">
        <f t="shared" si="8"/>
        <v>287.99</v>
      </c>
      <c r="E55" s="40">
        <f t="shared" si="8"/>
        <v>263.05</v>
      </c>
      <c r="F55" s="40">
        <f t="shared" si="8"/>
        <v>5</v>
      </c>
      <c r="G55" s="40">
        <f t="shared" si="8"/>
        <v>5</v>
      </c>
      <c r="H55" s="40">
        <f t="shared" si="8"/>
        <v>5</v>
      </c>
      <c r="I55" s="40">
        <f t="shared" si="8"/>
        <v>5</v>
      </c>
      <c r="J55" s="40">
        <f t="shared" si="8"/>
        <v>5</v>
      </c>
      <c r="K55" s="40">
        <f t="shared" si="8"/>
        <v>5</v>
      </c>
      <c r="L55" s="40">
        <f t="shared" si="8"/>
        <v>5</v>
      </c>
      <c r="M55" s="40">
        <f t="shared" si="8"/>
        <v>5</v>
      </c>
      <c r="N55" s="40">
        <f>SUM(N40:N54)</f>
        <v>1578.92</v>
      </c>
      <c r="O55" s="41"/>
      <c r="P55" s="12"/>
      <c r="Q55" s="12"/>
      <c r="R55" s="12"/>
      <c r="S55" s="12"/>
      <c r="T55" s="12"/>
      <c r="U55" s="12"/>
      <c r="V55" s="12"/>
      <c r="W55" s="12"/>
      <c r="X55" s="12"/>
    </row>
    <row r="56" spans="1:26" ht="14.25" customHeight="1">
      <c r="A56" s="54" t="s">
        <v>63</v>
      </c>
      <c r="B56" s="50" t="s">
        <v>1</v>
      </c>
      <c r="C56" s="27" t="s">
        <v>2</v>
      </c>
      <c r="D56" s="27" t="s">
        <v>3</v>
      </c>
      <c r="E56" s="27" t="s">
        <v>4</v>
      </c>
      <c r="F56" s="27" t="s">
        <v>5</v>
      </c>
      <c r="G56" s="27" t="s">
        <v>6</v>
      </c>
      <c r="H56" s="27" t="s">
        <v>7</v>
      </c>
      <c r="I56" s="27" t="s">
        <v>8</v>
      </c>
      <c r="J56" s="27" t="s">
        <v>9</v>
      </c>
      <c r="K56" s="27" t="s">
        <v>10</v>
      </c>
      <c r="L56" s="27" t="s">
        <v>11</v>
      </c>
      <c r="M56" s="27" t="s">
        <v>12</v>
      </c>
      <c r="N56" s="38" t="s">
        <v>13</v>
      </c>
      <c r="O56" s="39" t="s">
        <v>14</v>
      </c>
      <c r="P56" s="12"/>
      <c r="Q56" s="12"/>
      <c r="R56" s="12"/>
      <c r="S56" s="12"/>
      <c r="T56" s="12"/>
      <c r="U56" s="12"/>
      <c r="V56" s="12"/>
      <c r="W56" s="12"/>
      <c r="X56" s="12"/>
    </row>
    <row r="57" spans="1:26" ht="14.25" customHeight="1">
      <c r="A57" s="55" t="s">
        <v>64</v>
      </c>
      <c r="B57" s="51">
        <v>4500</v>
      </c>
      <c r="D57" s="28"/>
      <c r="E57" s="28">
        <f>-500 + -31.62</f>
        <v>-531.62</v>
      </c>
      <c r="F57" s="28"/>
      <c r="G57" s="28"/>
      <c r="H57" s="28"/>
      <c r="I57" s="28"/>
      <c r="J57" s="28"/>
      <c r="K57" s="28"/>
      <c r="L57" s="28"/>
      <c r="M57" s="28"/>
      <c r="N57" s="40">
        <f>SUM(B57:M57)</f>
        <v>3968.38</v>
      </c>
      <c r="O57" s="41"/>
      <c r="P57" s="12"/>
      <c r="Q57" s="12"/>
      <c r="R57" s="12"/>
      <c r="S57" s="12"/>
      <c r="T57" s="12"/>
      <c r="U57" s="12"/>
      <c r="V57" s="12"/>
      <c r="W57" s="12"/>
      <c r="X57" s="12"/>
    </row>
    <row r="58" spans="1:26" ht="14.25" customHeight="1">
      <c r="A58" s="55" t="s">
        <v>65</v>
      </c>
      <c r="B58" s="52">
        <f>4000</f>
        <v>4000</v>
      </c>
      <c r="C58" s="31"/>
      <c r="D58" s="32"/>
      <c r="E58" s="33">
        <f xml:space="preserve"> 500 + 200</f>
        <v>700</v>
      </c>
      <c r="F58" s="34"/>
      <c r="G58" s="32"/>
      <c r="H58" s="32"/>
      <c r="I58" s="32"/>
      <c r="J58" s="32"/>
      <c r="K58" s="32"/>
      <c r="L58" s="32"/>
      <c r="M58" s="35"/>
      <c r="N58" s="40">
        <f>SUM(B58:M58)</f>
        <v>4700</v>
      </c>
      <c r="O58" s="41"/>
      <c r="P58" s="12"/>
      <c r="Q58" s="12"/>
      <c r="R58" s="12"/>
      <c r="S58" s="12"/>
      <c r="T58" s="12"/>
      <c r="U58" s="12"/>
      <c r="V58" s="12"/>
      <c r="W58" s="12"/>
      <c r="X58" s="12"/>
    </row>
    <row r="59" spans="1:26" ht="14.25" customHeight="1">
      <c r="A59" s="53"/>
      <c r="B59" s="43">
        <f>SUM(B57:B58)</f>
        <v>8500</v>
      </c>
      <c r="C59" s="43">
        <f t="shared" ref="C59:M59" si="9">SUM(C57:C58)</f>
        <v>0</v>
      </c>
      <c r="D59" s="43">
        <f t="shared" si="9"/>
        <v>0</v>
      </c>
      <c r="E59" s="43">
        <f t="shared" si="9"/>
        <v>168.38</v>
      </c>
      <c r="F59" s="43">
        <f t="shared" si="9"/>
        <v>0</v>
      </c>
      <c r="G59" s="49">
        <f t="shared" si="9"/>
        <v>0</v>
      </c>
      <c r="H59" s="43">
        <f t="shared" si="9"/>
        <v>0</v>
      </c>
      <c r="I59" s="43">
        <f t="shared" si="9"/>
        <v>0</v>
      </c>
      <c r="J59" s="43">
        <f t="shared" si="9"/>
        <v>0</v>
      </c>
      <c r="K59" s="43">
        <f t="shared" si="9"/>
        <v>0</v>
      </c>
      <c r="L59" s="43">
        <f t="shared" si="9"/>
        <v>0</v>
      </c>
      <c r="M59" s="43">
        <f t="shared" si="9"/>
        <v>0</v>
      </c>
      <c r="N59" s="40">
        <f>SUM(N57:N58)</f>
        <v>8668.380000000001</v>
      </c>
      <c r="O59" s="41"/>
      <c r="P59" s="12"/>
      <c r="Q59" s="12"/>
      <c r="R59" s="12"/>
      <c r="S59" s="12"/>
      <c r="T59" s="12"/>
      <c r="U59" s="12"/>
      <c r="V59" s="12"/>
      <c r="W59" s="12"/>
      <c r="X59" s="12"/>
    </row>
    <row r="60" spans="1:26" ht="14.25" customHeight="1">
      <c r="A60" s="12"/>
      <c r="B60" s="25"/>
      <c r="C60" s="25"/>
      <c r="D60" s="25"/>
      <c r="E60" s="25"/>
      <c r="F60" s="30"/>
      <c r="G60" s="30"/>
      <c r="H60" s="30"/>
      <c r="I60" s="25"/>
      <c r="J60" s="25"/>
      <c r="K60" s="25"/>
      <c r="L60" s="25"/>
      <c r="M60" s="25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6" ht="14.25" customHeight="1">
      <c r="C61" s="12"/>
      <c r="D61" s="12"/>
      <c r="E61" s="12"/>
      <c r="F61" s="12"/>
      <c r="G61" s="29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6" ht="14.25" customHeight="1"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6" ht="14.25" customHeight="1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26"/>
      <c r="O63" s="26"/>
      <c r="P63" s="12"/>
      <c r="Q63" s="12"/>
      <c r="R63" s="12"/>
      <c r="S63" s="12"/>
      <c r="T63" s="12"/>
      <c r="U63" s="12"/>
      <c r="V63" s="12"/>
      <c r="W63" s="12"/>
      <c r="X63" s="12"/>
    </row>
    <row r="64" spans="1:26" ht="14.25" customHeight="1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16"/>
      <c r="O64" s="16"/>
      <c r="P64" s="11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26"/>
      <c r="O65" s="26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16"/>
      <c r="O66" s="16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26"/>
      <c r="O67" s="26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16"/>
      <c r="O68" s="16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26"/>
      <c r="O69" s="26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11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11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11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4:26" ht="14.25" customHeight="1"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4:26" ht="14.25" customHeight="1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4:26" ht="14.25" customHeight="1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4:26" ht="14.25" customHeight="1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printOptions horizontalCentered="1"/>
  <pageMargins left="0.4" right="0.4" top="0.35" bottom="0.35" header="0" footer="0"/>
  <pageSetup fitToHeight="0" orientation="portrait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Vertex42.com</dc:creator>
  <cp:keywords/>
  <dc:description/>
  <cp:lastModifiedBy/>
  <cp:revision/>
  <dcterms:created xsi:type="dcterms:W3CDTF">2007-10-28T01:07:07Z</dcterms:created>
  <dcterms:modified xsi:type="dcterms:W3CDTF">2026-04-23T12:28:32Z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2008-2019 Vertex42 LLC</vt:lpwstr>
  </property>
  <property fmtid="{D5CDD505-2E9C-101B-9397-08002B2CF9AE}" pid="3" name="Source">
    <vt:lpwstr>https://www.vertex42.com/ExcelTemplates/personal-budget-spreadsheet.html</vt:lpwstr>
  </property>
  <property fmtid="{D5CDD505-2E9C-101B-9397-08002B2CF9AE}" pid="4" name="Version">
    <vt:lpwstr>1.1.4</vt:lpwstr>
  </property>
</Properties>
</file>