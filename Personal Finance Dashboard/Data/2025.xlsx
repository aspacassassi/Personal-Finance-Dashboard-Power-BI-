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7921F5C1-7653-4A7A-86F7-E0F7E0C5318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put Sheet" sheetId="1" r:id="rId1"/>
  </sheets>
  <definedNames>
    <definedName name="valuevx">42.314159</definedName>
    <definedName name="vertex42_copyright">"© 2008-2019 Vertex42 LLC"</definedName>
    <definedName name="vertex42_id">"personal-budget-spreadsheet.xlsx"</definedName>
    <definedName name="vertex42_title">"Personal Budget Spreadsheet"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MrtHN5Cfxp4fnwPAPLjO0JomMW3UYTUazW0wdoAIns="/>
    </ext>
  </extLst>
</workbook>
</file>

<file path=xl/calcChain.xml><?xml version="1.0" encoding="utf-8"?>
<calcChain xmlns="http://schemas.openxmlformats.org/spreadsheetml/2006/main">
  <c r="R7" i="1" l="1"/>
  <c r="O25" i="1"/>
  <c r="N25" i="1"/>
  <c r="O14" i="1"/>
  <c r="N14" i="1"/>
  <c r="A9" i="1"/>
  <c r="N64" i="1"/>
  <c r="N65" i="1"/>
  <c r="O64" i="1"/>
  <c r="O65" i="1"/>
  <c r="N54" i="1"/>
  <c r="O54" i="1" s="1"/>
  <c r="N56" i="1"/>
  <c r="O56" i="1" s="1"/>
  <c r="N57" i="1"/>
  <c r="O57" i="1" s="1"/>
  <c r="N58" i="1"/>
  <c r="O58" i="1" s="1"/>
  <c r="N49" i="1"/>
  <c r="O49" i="1" s="1"/>
  <c r="H46" i="1"/>
  <c r="F46" i="1"/>
  <c r="E46" i="1"/>
  <c r="D46" i="1"/>
  <c r="C46" i="1"/>
  <c r="B46" i="1"/>
  <c r="A61" i="1"/>
  <c r="M60" i="1"/>
  <c r="L60" i="1"/>
  <c r="K60" i="1"/>
  <c r="G60" i="1"/>
  <c r="F60" i="1"/>
  <c r="E60" i="1"/>
  <c r="N60" i="1" s="1"/>
  <c r="O60" i="1" s="1"/>
  <c r="M59" i="1"/>
  <c r="J59" i="1"/>
  <c r="I59" i="1"/>
  <c r="I61" i="1" s="1"/>
  <c r="H59" i="1"/>
  <c r="E59" i="1"/>
  <c r="N59" i="1" s="1"/>
  <c r="O59" i="1" s="1"/>
  <c r="J55" i="1"/>
  <c r="E55" i="1"/>
  <c r="N55" i="1" s="1"/>
  <c r="O55" i="1" s="1"/>
  <c r="M53" i="1"/>
  <c r="K53" i="1"/>
  <c r="E53" i="1"/>
  <c r="C53" i="1"/>
  <c r="K52" i="1"/>
  <c r="J52" i="1"/>
  <c r="N52" i="1" s="1"/>
  <c r="O52" i="1" s="1"/>
  <c r="M51" i="1"/>
  <c r="L51" i="1"/>
  <c r="J51" i="1"/>
  <c r="M50" i="1"/>
  <c r="L50" i="1"/>
  <c r="I43" i="1"/>
  <c r="A43" i="1"/>
  <c r="M42" i="1"/>
  <c r="K42" i="1"/>
  <c r="J42" i="1"/>
  <c r="H42" i="1"/>
  <c r="E42" i="1"/>
  <c r="D42" i="1"/>
  <c r="N42" i="1" s="1"/>
  <c r="O42" i="1" s="1"/>
  <c r="M41" i="1"/>
  <c r="L41" i="1"/>
  <c r="N41" i="1" s="1"/>
  <c r="O41" i="1" s="1"/>
  <c r="M48" i="1"/>
  <c r="L48" i="1"/>
  <c r="J48" i="1"/>
  <c r="H48" i="1"/>
  <c r="G48" i="1"/>
  <c r="F48" i="1"/>
  <c r="E48" i="1"/>
  <c r="D48" i="1"/>
  <c r="C48" i="1"/>
  <c r="N48" i="1" s="1"/>
  <c r="O48" i="1" s="1"/>
  <c r="M46" i="1"/>
  <c r="L46" i="1"/>
  <c r="K46" i="1"/>
  <c r="J46" i="1"/>
  <c r="G46" i="1"/>
  <c r="D61" i="1"/>
  <c r="M47" i="1"/>
  <c r="L47" i="1"/>
  <c r="K47" i="1"/>
  <c r="J47" i="1"/>
  <c r="H47" i="1"/>
  <c r="E47" i="1"/>
  <c r="C47" i="1"/>
  <c r="N47" i="1" s="1"/>
  <c r="O47" i="1" s="1"/>
  <c r="G40" i="1"/>
  <c r="N40" i="1" s="1"/>
  <c r="O40" i="1" s="1"/>
  <c r="H39" i="1"/>
  <c r="B39" i="1"/>
  <c r="N39" i="1" s="1"/>
  <c r="O39" i="1" s="1"/>
  <c r="M38" i="1"/>
  <c r="L38" i="1"/>
  <c r="K38" i="1"/>
  <c r="H38" i="1"/>
  <c r="G38" i="1"/>
  <c r="N38" i="1" s="1"/>
  <c r="O38" i="1" s="1"/>
  <c r="E37" i="1"/>
  <c r="N37" i="1" s="1"/>
  <c r="O37" i="1" s="1"/>
  <c r="N36" i="1"/>
  <c r="O36" i="1" s="1"/>
  <c r="M35" i="1"/>
  <c r="M43" i="1" s="1"/>
  <c r="L35" i="1"/>
  <c r="L43" i="1" s="1"/>
  <c r="K35" i="1"/>
  <c r="K43" i="1" s="1"/>
  <c r="J35" i="1"/>
  <c r="J43" i="1" s="1"/>
  <c r="H35" i="1"/>
  <c r="H43" i="1" s="1"/>
  <c r="G35" i="1"/>
  <c r="G43" i="1" s="1"/>
  <c r="F35" i="1"/>
  <c r="F43" i="1" s="1"/>
  <c r="E35" i="1"/>
  <c r="E43" i="1" s="1"/>
  <c r="D35" i="1"/>
  <c r="D43" i="1" s="1"/>
  <c r="C35" i="1"/>
  <c r="C43" i="1" s="1"/>
  <c r="B35" i="1"/>
  <c r="L32" i="1"/>
  <c r="K32" i="1"/>
  <c r="I32" i="1"/>
  <c r="H32" i="1"/>
  <c r="G32" i="1"/>
  <c r="D32" i="1"/>
  <c r="B32" i="1"/>
  <c r="A32" i="1"/>
  <c r="N31" i="1"/>
  <c r="O31" i="1" s="1"/>
  <c r="M30" i="1"/>
  <c r="M32" i="1" s="1"/>
  <c r="J30" i="1"/>
  <c r="J32" i="1" s="1"/>
  <c r="F30" i="1"/>
  <c r="F32" i="1" s="1"/>
  <c r="E30" i="1"/>
  <c r="E32" i="1" s="1"/>
  <c r="C30" i="1"/>
  <c r="N29" i="1"/>
  <c r="I26" i="1"/>
  <c r="G26" i="1"/>
  <c r="F26" i="1"/>
  <c r="D26" i="1"/>
  <c r="C26" i="1"/>
  <c r="A26" i="1"/>
  <c r="J24" i="1"/>
  <c r="M23" i="1"/>
  <c r="K23" i="1"/>
  <c r="J23" i="1"/>
  <c r="M22" i="1"/>
  <c r="M26" i="1" s="1"/>
  <c r="L22" i="1"/>
  <c r="L26" i="1" s="1"/>
  <c r="K22" i="1"/>
  <c r="J22" i="1"/>
  <c r="H22" i="1"/>
  <c r="K21" i="1"/>
  <c r="J21" i="1"/>
  <c r="K20" i="1"/>
  <c r="K26" i="1" s="1"/>
  <c r="H20" i="1"/>
  <c r="H26" i="1" s="1"/>
  <c r="E20" i="1"/>
  <c r="E26" i="1" s="1"/>
  <c r="B20" i="1"/>
  <c r="B17" i="1"/>
  <c r="A17" i="1"/>
  <c r="L16" i="1"/>
  <c r="J16" i="1"/>
  <c r="I16" i="1"/>
  <c r="I17" i="1" s="1"/>
  <c r="H16" i="1"/>
  <c r="C16" i="1"/>
  <c r="L15" i="1"/>
  <c r="K15" i="1"/>
  <c r="J15" i="1"/>
  <c r="H15" i="1"/>
  <c r="F15" i="1"/>
  <c r="E15" i="1"/>
  <c r="K13" i="1"/>
  <c r="D13" i="1"/>
  <c r="M12" i="1"/>
  <c r="M17" i="1" s="1"/>
  <c r="L12" i="1"/>
  <c r="L17" i="1" s="1"/>
  <c r="K12" i="1"/>
  <c r="K17" i="1" s="1"/>
  <c r="J12" i="1"/>
  <c r="J17" i="1" s="1"/>
  <c r="H12" i="1"/>
  <c r="H17" i="1" s="1"/>
  <c r="G12" i="1"/>
  <c r="G17" i="1" s="1"/>
  <c r="F12" i="1"/>
  <c r="F17" i="1" s="1"/>
  <c r="E12" i="1"/>
  <c r="E17" i="1" s="1"/>
  <c r="D12" i="1"/>
  <c r="D17" i="1" s="1"/>
  <c r="C12" i="1"/>
  <c r="M8" i="1"/>
  <c r="L8" i="1"/>
  <c r="K8" i="1"/>
  <c r="H8" i="1"/>
  <c r="F8" i="1"/>
  <c r="E8" i="1"/>
  <c r="D8" i="1"/>
  <c r="C8" i="1"/>
  <c r="B8" i="1"/>
  <c r="N8" i="1" s="1"/>
  <c r="O8" i="1" s="1"/>
  <c r="M7" i="1"/>
  <c r="L7" i="1"/>
  <c r="K7" i="1"/>
  <c r="J7" i="1"/>
  <c r="J9" i="1" s="1"/>
  <c r="I7" i="1"/>
  <c r="I9" i="1" s="1"/>
  <c r="H7" i="1"/>
  <c r="F7" i="1"/>
  <c r="E7" i="1"/>
  <c r="D7" i="1"/>
  <c r="C7" i="1"/>
  <c r="C9" i="1" s="1"/>
  <c r="B7" i="1"/>
  <c r="M6" i="1"/>
  <c r="M9" i="1" s="1"/>
  <c r="L6" i="1"/>
  <c r="L9" i="1" s="1"/>
  <c r="K6" i="1"/>
  <c r="K9" i="1" s="1"/>
  <c r="H6" i="1"/>
  <c r="H9" i="1" s="1"/>
  <c r="G6" i="1"/>
  <c r="G9" i="1" s="1"/>
  <c r="F6" i="1"/>
  <c r="F9" i="1" s="1"/>
  <c r="E6" i="1"/>
  <c r="E9" i="1" s="1"/>
  <c r="D6" i="1"/>
  <c r="O66" i="1" l="1"/>
  <c r="O20" i="1"/>
  <c r="N20" i="1"/>
  <c r="O21" i="1"/>
  <c r="N21" i="1"/>
  <c r="O22" i="1"/>
  <c r="N22" i="1"/>
  <c r="O23" i="1"/>
  <c r="N23" i="1"/>
  <c r="O24" i="1"/>
  <c r="N24" i="1"/>
  <c r="O17" i="1"/>
  <c r="O12" i="1"/>
  <c r="N12" i="1"/>
  <c r="O13" i="1"/>
  <c r="N13" i="1"/>
  <c r="O15" i="1"/>
  <c r="N15" i="1"/>
  <c r="O16" i="1"/>
  <c r="N16" i="1"/>
  <c r="N66" i="1"/>
  <c r="N6" i="1"/>
  <c r="D9" i="1"/>
  <c r="N7" i="1"/>
  <c r="O7" i="1" s="1"/>
  <c r="B9" i="1"/>
  <c r="N46" i="1"/>
  <c r="B61" i="1"/>
  <c r="F61" i="1"/>
  <c r="G61" i="1"/>
  <c r="M61" i="1"/>
  <c r="K61" i="1"/>
  <c r="E61" i="1"/>
  <c r="H61" i="1"/>
  <c r="C17" i="1"/>
  <c r="B26" i="1"/>
  <c r="J26" i="1"/>
  <c r="O29" i="1"/>
  <c r="C32" i="1"/>
  <c r="N30" i="1"/>
  <c r="B43" i="1"/>
  <c r="N35" i="1"/>
  <c r="N43" i="1" s="1"/>
  <c r="L61" i="1"/>
  <c r="N50" i="1"/>
  <c r="J61" i="1"/>
  <c r="N51" i="1"/>
  <c r="O51" i="1" s="1"/>
  <c r="C61" i="1"/>
  <c r="N53" i="1"/>
  <c r="O53" i="1" s="1"/>
  <c r="O46" i="1" l="1"/>
  <c r="N61" i="1"/>
  <c r="N26" i="1"/>
  <c r="O26" i="1"/>
  <c r="N17" i="1"/>
  <c r="N9" i="1"/>
  <c r="R6" i="1" s="1"/>
  <c r="O6" i="1"/>
  <c r="O9" i="1"/>
  <c r="O50" i="1"/>
  <c r="O35" i="1"/>
  <c r="O43" i="1" s="1"/>
  <c r="O30" i="1"/>
  <c r="N32" i="1"/>
  <c r="O32" i="1" s="1"/>
  <c r="R8" i="1"/>
  <c r="O61" i="1" l="1"/>
</calcChain>
</file>

<file path=xl/sharedStrings.xml><?xml version="1.0" encoding="utf-8"?>
<sst xmlns="http://schemas.openxmlformats.org/spreadsheetml/2006/main" count="151" uniqueCount="62">
  <si>
    <t>Income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</si>
  <si>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</si>
  <si>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</si>
  <si>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</si>
  <si>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</si>
  <si>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</si>
  <si>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</si>
  <si>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</si>
  <si>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</si>
  <si>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</si>
  <si>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</si>
  <si>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</si>
  <si>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</si>
  <si>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</si>
  <si>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Avg</t>
  </si>
  <si>
    <t>Totals</t>
  </si>
  <si>
    <t>Salary</t>
  </si>
  <si>
    <t>Total Income</t>
  </si>
  <si>
    <t>Reimbursements</t>
  </si>
  <si>
    <t>Total Expenses</t>
  </si>
  <si>
    <t>Other</t>
  </si>
  <si>
    <t>Net</t>
  </si>
  <si>
    <t>Transportation</t>
  </si>
  <si>
    <t>NMBS</t>
  </si>
  <si>
    <t>Cambio</t>
  </si>
  <si>
    <t>Motorcycle</t>
  </si>
  <si>
    <t>De Lijn</t>
  </si>
  <si>
    <t>Health</t>
  </si>
  <si>
    <t>Health Insurance</t>
  </si>
  <si>
    <t>Medication</t>
  </si>
  <si>
    <t>Doctor</t>
  </si>
  <si>
    <t>Cosmetics</t>
  </si>
  <si>
    <t>Sauna</t>
  </si>
  <si>
    <t>Charity_Gifts</t>
  </si>
  <si>
    <t>Wikipedia</t>
  </si>
  <si>
    <t>Gifts</t>
  </si>
  <si>
    <t>Daily_Living</t>
  </si>
  <si>
    <t>Groceries</t>
  </si>
  <si>
    <t>Phone bill</t>
  </si>
  <si>
    <t>Rent</t>
  </si>
  <si>
    <t>Clothes</t>
  </si>
  <si>
    <t>Laundry</t>
  </si>
  <si>
    <t>Education/Lessons</t>
  </si>
  <si>
    <t>Barber</t>
  </si>
  <si>
    <t>Entertainment</t>
  </si>
  <si>
    <t>Dining/Eating Out</t>
  </si>
  <si>
    <t>Drinks</t>
  </si>
  <si>
    <t>Coffee</t>
  </si>
  <si>
    <t>HEMA</t>
  </si>
  <si>
    <t>Books</t>
  </si>
  <si>
    <t>Games</t>
  </si>
  <si>
    <t>Warhammer</t>
  </si>
  <si>
    <t>Concerts</t>
  </si>
  <si>
    <t>Guitar</t>
  </si>
  <si>
    <t>Camera</t>
  </si>
  <si>
    <t>Spotify + icloud</t>
  </si>
  <si>
    <t>Kombucha</t>
  </si>
  <si>
    <t>Baking</t>
  </si>
  <si>
    <t>Vacation/Travel</t>
  </si>
  <si>
    <t>Savings</t>
  </si>
  <si>
    <t>General Savings</t>
  </si>
  <si>
    <t>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</si>
</sst>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color rgb="FF000000"/>
      <name val="Arial"/>
      <scheme val="minor"/>
    </font>
    <font>
      <sz val="18"/>
      <color rgb="FF3C5B92"/>
      <name val="Arial"/>
    </font>
    <font>
      <b/>
      <sz val="18"/>
      <color theme="0"/>
      <name val="Arial"/>
    </font>
    <font>
      <b/>
      <sz val="18"/>
      <color theme="0"/>
      <name val="Trebuchet MS"/>
    </font>
    <font>
      <sz val="10"/>
      <color theme="1"/>
      <name val="Trebuchet MS"/>
    </font>
    <font>
      <u/>
      <sz val="8"/>
      <color rgb="FFA5A5A5"/>
      <name val="Arial"/>
    </font>
    <font>
      <u/>
      <sz val="8"/>
      <color rgb="FF0000FF"/>
      <name val="Trebuchet MS"/>
    </font>
    <font>
      <sz val="8"/>
      <color theme="1"/>
      <name val="Trebuchet MS"/>
    </font>
    <font>
      <sz val="8"/>
      <color rgb="FFA5A5A5"/>
      <name val="Arial"/>
    </font>
    <font>
      <u/>
      <sz val="8"/>
      <color rgb="FF595959"/>
      <name val="Arial"/>
    </font>
    <font>
      <b/>
      <sz val="10"/>
      <color theme="1"/>
      <name val="Trebuchet MS"/>
    </font>
    <font>
      <b/>
      <sz val="10"/>
      <color theme="1"/>
      <name val="Arial"/>
    </font>
    <font>
      <sz val="11"/>
      <color theme="1"/>
      <name val="Trebuchet MS"/>
    </font>
    <font>
      <sz val="9"/>
      <color theme="1"/>
      <name val="Trebuchet MS"/>
    </font>
    <font>
      <sz val="10"/>
      <color theme="1"/>
      <name val="Arial"/>
    </font>
    <font>
      <sz val="9"/>
      <color rgb="FF00000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DE4F1"/>
        <bgColor rgb="FFDDE4F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4" tint="0.79998168889431442"/>
      </left>
      <right style="thin">
        <color theme="0" tint="-0.249977111117893"/>
      </right>
      <top style="thin">
        <color theme="4" tint="0.7999816888943144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4" tint="0.7999816888943144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4" tint="0.79998168889431442"/>
      </right>
      <top style="thin">
        <color theme="4" tint="0.79998168889431442"/>
      </top>
      <bottom style="thin">
        <color theme="0" tint="-0.249977111117893"/>
      </bottom>
      <diagonal/>
    </border>
    <border>
      <left style="thin">
        <color theme="4" tint="0.79998168889431442"/>
      </left>
      <right style="thin">
        <color theme="0" tint="-0.249977111117893"/>
      </right>
      <top style="thin">
        <color theme="0" tint="-0.249977111117893"/>
      </top>
      <bottom style="thin">
        <color theme="4" tint="0.7999816888943144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4" tint="0.79998168889431442"/>
      </bottom>
      <diagonal/>
    </border>
    <border>
      <left style="thin">
        <color theme="0" tint="-0.249977111117893"/>
      </left>
      <right style="thin">
        <color theme="4" tint="0.79998168889431442"/>
      </right>
      <top style="thin">
        <color theme="0" tint="-0.249977111117893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13" fillId="0" borderId="3" xfId="0" applyNumberFormat="1" applyFont="1" applyBorder="1" applyAlignment="1">
      <alignment vertical="center"/>
    </xf>
    <xf numFmtId="3" fontId="13" fillId="0" borderId="4" xfId="0" applyNumberFormat="1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13" fillId="0" borderId="0" xfId="0" applyFont="1" applyAlignment="1">
      <alignment vertical="center" shrinkToFit="1"/>
    </xf>
    <xf numFmtId="3" fontId="13" fillId="0" borderId="2" xfId="0" applyNumberFormat="1" applyFont="1" applyBorder="1" applyAlignment="1">
      <alignment vertical="center"/>
    </xf>
    <xf numFmtId="3" fontId="13" fillId="2" borderId="5" xfId="0" applyNumberFormat="1" applyFont="1" applyFill="1" applyBorder="1" applyAlignment="1">
      <alignment vertical="center"/>
    </xf>
    <xf numFmtId="3" fontId="13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3" fillId="0" borderId="5" xfId="0" applyFont="1" applyBorder="1" applyAlignment="1">
      <alignment vertical="center" shrinkToFit="1"/>
    </xf>
    <xf numFmtId="0" fontId="11" fillId="0" borderId="5" xfId="0" applyFont="1" applyBorder="1" applyAlignment="1">
      <alignment horizontal="center" vertical="center"/>
    </xf>
    <xf numFmtId="3" fontId="13" fillId="0" borderId="6" xfId="0" applyNumberFormat="1" applyFont="1" applyBorder="1" applyAlignment="1">
      <alignment vertical="center"/>
    </xf>
    <xf numFmtId="0" fontId="7" fillId="4" borderId="0" xfId="0" applyFont="1" applyFill="1" applyAlignment="1">
      <alignment vertical="center"/>
    </xf>
    <xf numFmtId="0" fontId="13" fillId="4" borderId="0" xfId="0" applyFont="1" applyFill="1" applyAlignment="1">
      <alignment vertical="center" shrinkToFit="1"/>
    </xf>
    <xf numFmtId="0" fontId="12" fillId="4" borderId="0" xfId="0" applyFont="1" applyFill="1" applyAlignment="1">
      <alignment vertical="center"/>
    </xf>
    <xf numFmtId="3" fontId="13" fillId="0" borderId="7" xfId="0" applyNumberFormat="1" applyFont="1" applyBorder="1" applyAlignment="1">
      <alignment vertical="center"/>
    </xf>
    <xf numFmtId="0" fontId="0" fillId="0" borderId="7" xfId="0" applyFont="1" applyBorder="1" applyAlignment="1"/>
    <xf numFmtId="0" fontId="7" fillId="0" borderId="5" xfId="0" applyFont="1" applyBorder="1" applyAlignment="1">
      <alignment vertical="center"/>
    </xf>
    <xf numFmtId="3" fontId="13" fillId="5" borderId="0" xfId="0" applyNumberFormat="1" applyFont="1" applyFill="1" applyAlignment="1">
      <alignment vertical="center"/>
    </xf>
    <xf numFmtId="0" fontId="14" fillId="3" borderId="8" xfId="0" applyFont="1" applyFill="1" applyBorder="1" applyAlignment="1">
      <alignment vertical="center"/>
    </xf>
    <xf numFmtId="0" fontId="11" fillId="3" borderId="9" xfId="0" applyFont="1" applyFill="1" applyBorder="1" applyAlignment="1">
      <alignment horizontal="center" vertical="center"/>
    </xf>
    <xf numFmtId="3" fontId="7" fillId="0" borderId="5" xfId="0" applyNumberFormat="1" applyFont="1" applyBorder="1" applyAlignment="1">
      <alignment vertical="center"/>
    </xf>
    <xf numFmtId="3" fontId="13" fillId="5" borderId="5" xfId="0" applyNumberFormat="1" applyFont="1" applyFill="1" applyBorder="1" applyAlignment="1">
      <alignment vertical="center"/>
    </xf>
    <xf numFmtId="3" fontId="7" fillId="5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3" fontId="13" fillId="3" borderId="11" xfId="0" applyNumberFormat="1" applyFont="1" applyFill="1" applyBorder="1" applyAlignment="1">
      <alignment vertical="center"/>
    </xf>
    <xf numFmtId="3" fontId="13" fillId="3" borderId="12" xfId="0" applyNumberFormat="1" applyFont="1" applyFill="1" applyBorder="1" applyAlignment="1">
      <alignment vertical="center"/>
    </xf>
    <xf numFmtId="3" fontId="13" fillId="3" borderId="13" xfId="0" applyNumberFormat="1" applyFont="1" applyFill="1" applyBorder="1" applyAlignment="1">
      <alignment vertical="center"/>
    </xf>
    <xf numFmtId="3" fontId="13" fillId="3" borderId="14" xfId="0" applyNumberFormat="1" applyFont="1" applyFill="1" applyBorder="1" applyAlignment="1">
      <alignment vertical="center"/>
    </xf>
    <xf numFmtId="3" fontId="13" fillId="3" borderId="15" xfId="0" applyNumberFormat="1" applyFont="1" applyFill="1" applyBorder="1" applyAlignment="1">
      <alignment vertical="center"/>
    </xf>
    <xf numFmtId="3" fontId="13" fillId="3" borderId="16" xfId="0" applyNumberFormat="1" applyFont="1" applyFill="1" applyBorder="1" applyAlignment="1">
      <alignment vertical="center"/>
    </xf>
    <xf numFmtId="0" fontId="13" fillId="3" borderId="8" xfId="0" applyFont="1" applyFill="1" applyBorder="1" applyAlignment="1">
      <alignment vertical="center" shrinkToFit="1"/>
    </xf>
    <xf numFmtId="0" fontId="11" fillId="3" borderId="17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3" fontId="13" fillId="4" borderId="5" xfId="0" applyNumberFormat="1" applyFont="1" applyFill="1" applyBorder="1" applyAlignment="1">
      <alignment vertical="center"/>
    </xf>
    <xf numFmtId="0" fontId="11" fillId="5" borderId="0" xfId="0" applyFont="1" applyFill="1" applyAlignment="1">
      <alignment horizontal="right" vertical="center"/>
    </xf>
    <xf numFmtId="0" fontId="13" fillId="5" borderId="0" xfId="0" applyFont="1" applyFill="1" applyAlignment="1">
      <alignment horizontal="right" vertical="center" shrinkToFit="1"/>
    </xf>
    <xf numFmtId="0" fontId="13" fillId="5" borderId="5" xfId="0" applyFont="1" applyFill="1" applyBorder="1" applyAlignment="1">
      <alignment horizontal="right" vertical="center" shrinkToFit="1"/>
    </xf>
    <xf numFmtId="3" fontId="13" fillId="0" borderId="18" xfId="0" applyNumberFormat="1" applyFont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0" fillId="0" borderId="5" xfId="0" applyFont="1" applyBorder="1" applyAlignment="1"/>
    <xf numFmtId="0" fontId="11" fillId="0" borderId="5" xfId="0" applyFont="1" applyBorder="1" applyAlignment="1">
      <alignment horizontal="right" vertical="center"/>
    </xf>
    <xf numFmtId="0" fontId="11" fillId="5" borderId="10" xfId="0" applyFont="1" applyFill="1" applyBorder="1" applyAlignment="1">
      <alignment horizontal="center" vertical="center"/>
    </xf>
    <xf numFmtId="3" fontId="15" fillId="5" borderId="0" xfId="0" applyNumberFormat="1" applyFont="1" applyFill="1" applyAlignment="1"/>
  </cellXfs>
  <cellStyles count="1">
    <cellStyle name="Normal" xfId="0" builtinId="0"/>
  </cellStyles>
  <dxfs count="26"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4" tint="0.79998168889431442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4" tint="0.79998168889431442"/>
        </left>
        <right style="thin">
          <color theme="4" tint="0.79998168889431442"/>
        </right>
        <top style="thin">
          <color theme="4" tint="0.79998168889431442"/>
        </top>
        <bottom style="thin">
          <color theme="4" tint="0.79998168889431442"/>
        </bottom>
        <vertical style="thin">
          <color theme="4" tint="0.79998168889431442"/>
        </vertical>
        <horizontal style="thin">
          <color theme="4" tint="0.7999816888943144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DE4F1"/>
          <bgColor rgb="FFDDE4F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E1F1DD"/>
          <bgColor rgb="FFE1F1DD"/>
        </patternFill>
      </fill>
    </dxf>
    <dxf>
      <fill>
        <patternFill patternType="solid">
          <fgColor rgb="FFE1F1DD"/>
          <bgColor rgb="FFE1F1DD"/>
        </patternFill>
      </fill>
    </dxf>
  </dxfs>
  <tableStyles count="6">
    <tableStyle name="Budget-style" pivot="0" count="2" xr9:uid="{00000000-0011-0000-FFFF-FFFF00000000}">
      <tableStyleElement type="firstColumnStripe" dxfId="25"/>
      <tableStyleElement type="secondColumnStripe" dxfId="24"/>
    </tableStyle>
    <tableStyle name="Budget-style 2" pivot="0" count="2" xr9:uid="{00000000-0011-0000-FFFF-FFFF01000000}">
      <tableStyleElement type="firstColumnStripe" dxfId="23"/>
      <tableStyleElement type="secondColumnStripe" dxfId="22"/>
    </tableStyle>
    <tableStyle name="Budget-style 3" pivot="0" count="2" xr9:uid="{00000000-0011-0000-FFFF-FFFF02000000}">
      <tableStyleElement type="firstColumnStripe" dxfId="21"/>
      <tableStyleElement type="secondColumnStripe" dxfId="20"/>
    </tableStyle>
    <tableStyle name="Budget-style 4" pivot="0" count="2" xr9:uid="{00000000-0011-0000-FFFF-FFFF03000000}">
      <tableStyleElement type="firstColumnStripe" dxfId="19"/>
      <tableStyleElement type="secondColumnStripe" dxfId="18"/>
    </tableStyle>
    <tableStyle name="Budget-style 5" pivot="0" count="2" xr9:uid="{00000000-0011-0000-FFFF-FFFF04000000}">
      <tableStyleElement type="firstColumnStripe" dxfId="17"/>
      <tableStyleElement type="secondColumnStripe" dxfId="16"/>
    </tableStyle>
    <tableStyle name="Budget-style 6" pivot="0" count="2" xr9:uid="{00000000-0011-0000-FFFF-FFFF05000000}">
      <tableStyleElement type="firstColumnStripe" dxfId="15"/>
      <tableStyleElement type="secondColumn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ome" displayName="Income" ref="A5:M8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Budget-style" showFirstColumn="1" showLastColumn="1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nsportation" displayName="Transportation" ref="A11:M16" headerRowCount="0">
  <tableColumns count="1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</tableColumns>
  <tableStyleInfo name="Budget-style 2" showFirstColumn="1" showLastColumn="1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ealth" displayName="Health" ref="A19:M25" headerRowCount="0">
  <tableColumns count="13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</tableColumns>
  <tableStyleInfo name="Budget-style 3" showFirstColumn="1" showLastColumn="1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ity_Gifts" displayName="Charity_Gifts" ref="A28:M31" headerRowCount="0">
  <tableColumns count="13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</tableColumns>
  <tableStyleInfo name="Budget-style 4" showFirstColumn="1" showLastColumn="1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ily_Living" displayName="Daily_Living" ref="A34:M42" headerRowCount="0">
  <tableColumns count="13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</tableColumns>
  <tableStyleInfo name="Budget-style 5" showFirstColumn="1" showLastColumn="1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ntertainment" displayName="Entertainment" ref="A45:M60" headerRowCount="0">
  <tableColumns count="13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</tableColumns>
  <tableStyleInfo name="Budget-style 6" showFirstColumn="1" showLastColumn="1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1D58F2-EEFB-4824-82DE-3E480064B826}" name="Savings" displayName="Savings" ref="A63:M65" totalsRowShown="0" headerRowDxfId="13">
  <autoFilter ref="A63:M65" xr:uid="{D81D58F2-EEFB-4824-82DE-3E480064B8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EFC484B-2DE0-4778-A4E7-7C9659774881}" name="Savings" dataDxfId="12"/>
    <tableColumn id="2" xr3:uid="{79035E95-03CD-4562-8906-5F47897D1B03}" name="JAN" dataDxfId="11"/>
    <tableColumn id="3" xr3:uid="{A3F0D685-CD32-4971-B52F-542F0700558E}" name="FEB" dataDxfId="10"/>
    <tableColumn id="4" xr3:uid="{28A4C43B-4C3A-45A9-A524-A69FC2D111B2}" name="MAR" dataDxfId="9"/>
    <tableColumn id="5" xr3:uid="{9A67F5F3-62EE-4051-950D-00ABFD13C5E7}" name="APR" dataDxfId="8"/>
    <tableColumn id="6" xr3:uid="{79A864C4-A2E0-4703-A893-42070E2E0EBE}" name="MAY" dataDxfId="7"/>
    <tableColumn id="7" xr3:uid="{E74D9AFB-D2BD-419F-8736-96AE8C26932E}" name="JUN" dataDxfId="6"/>
    <tableColumn id="8" xr3:uid="{61F1C1A0-3020-4674-9B10-31F34E9486A5}" name="JUL" dataDxfId="5"/>
    <tableColumn id="9" xr3:uid="{97B70212-4F08-475E-BCB8-A2680DCE9957}" name="AUG" dataDxfId="4"/>
    <tableColumn id="10" xr3:uid="{8B61A82E-2DF0-4248-B26B-FFE9BE7852BD}" name="SEP" dataDxfId="3"/>
    <tableColumn id="11" xr3:uid="{D8E605A5-E73C-4D8A-AD27-B91E95164A0A}" name="OCT" dataDxfId="2"/>
    <tableColumn id="12" xr3:uid="{D2F76780-D634-4745-AEC7-E965172EED9E}" name="NOV" dataDxfId="1"/>
    <tableColumn id="13" xr3:uid="{B8AD97B3-D944-4CEC-961D-3E83012B3F40}" name="DEC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97CBB"/>
      </a:accent1>
      <a:accent2>
        <a:srgbClr val="BB5965"/>
      </a:accent2>
      <a:accent3>
        <a:srgbClr val="6CBB59"/>
      </a:accent3>
      <a:accent4>
        <a:srgbClr val="BB7C59"/>
      </a:accent4>
      <a:accent5>
        <a:srgbClr val="9F59BB"/>
      </a:accent5>
      <a:accent6>
        <a:srgbClr val="59BBAB"/>
      </a:accent6>
      <a:hlink>
        <a:srgbClr val="BFD9B6"/>
      </a:hlink>
      <a:folHlink>
        <a:srgbClr val="BFD9B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8" workbookViewId="0">
      <selection activeCell="R8" sqref="R8"/>
    </sheetView>
  </sheetViews>
  <sheetFormatPr defaultColWidth="12.625" defaultRowHeight="15" customHeight="1"/>
  <cols>
    <col min="1" max="1" width="18.875" customWidth="1"/>
    <col min="2" max="13" width="6.25" customWidth="1"/>
    <col min="14" max="14" width="7.375" customWidth="1"/>
    <col min="15" max="15" width="6.25" customWidth="1"/>
    <col min="16" max="16" width="9" customWidth="1"/>
    <col min="17" max="17" width="10.625" customWidth="1"/>
    <col min="18" max="18" width="12.375" customWidth="1"/>
    <col min="19" max="19" width="5.5" customWidth="1"/>
    <col min="20" max="20" width="3.5" customWidth="1"/>
    <col min="21" max="21" width="6" customWidth="1"/>
    <col min="22" max="26" width="9" customWidth="1"/>
  </cols>
  <sheetData>
    <row r="1" spans="1:26" ht="25.5" customHeight="1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7"/>
      <c r="O2" s="8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7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9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S4" s="11"/>
      <c r="T4" s="11"/>
      <c r="U4" s="11"/>
      <c r="V4" s="11"/>
      <c r="W4" s="11"/>
      <c r="X4" s="11"/>
      <c r="Y4" s="11"/>
      <c r="Z4" s="11"/>
    </row>
    <row r="5" spans="1:26" ht="14.25" customHeight="1">
      <c r="A5" s="22" t="s">
        <v>0</v>
      </c>
      <c r="B5" s="23" t="s">
        <v>1</v>
      </c>
      <c r="C5" s="23" t="s">
        <v>2</v>
      </c>
      <c r="D5" s="23" t="s">
        <v>3</v>
      </c>
      <c r="E5" s="23" t="s">
        <v>4</v>
      </c>
      <c r="F5" s="23" t="s">
        <v>5</v>
      </c>
      <c r="G5" s="23" t="s">
        <v>6</v>
      </c>
      <c r="H5" s="23" t="s">
        <v>7</v>
      </c>
      <c r="I5" s="23" t="s">
        <v>8</v>
      </c>
      <c r="J5" s="23" t="s">
        <v>9</v>
      </c>
      <c r="K5" s="23" t="s">
        <v>10</v>
      </c>
      <c r="L5" s="23" t="s">
        <v>11</v>
      </c>
      <c r="M5" s="23" t="s">
        <v>12</v>
      </c>
      <c r="N5" s="52" t="s">
        <v>13</v>
      </c>
      <c r="O5" s="52" t="s">
        <v>14</v>
      </c>
      <c r="P5" s="12"/>
      <c r="Q5" s="11" t="s">
        <v>15</v>
      </c>
      <c r="R5" s="11"/>
      <c r="S5" s="13"/>
      <c r="T5" s="13"/>
      <c r="U5" s="13"/>
      <c r="V5" s="13"/>
      <c r="W5" s="13"/>
      <c r="X5" s="13"/>
      <c r="Y5" s="13"/>
      <c r="Z5" s="13"/>
    </row>
    <row r="6" spans="1:26" ht="14.25" customHeight="1">
      <c r="A6" s="18" t="s">
        <v>16</v>
      </c>
      <c r="B6" s="19"/>
      <c r="C6" s="19"/>
      <c r="D6" s="19">
        <f>58.8 + 151.17 + 112.42</f>
        <v>322.39</v>
      </c>
      <c r="E6" s="19">
        <f>130.91 + 21.02 + 316.48 + 200.67 + 126.69</f>
        <v>795.77</v>
      </c>
      <c r="F6" s="19">
        <f>111.53 + 158.62 + 21.3 + 81.72 + 121.14 + 111.32 + 218.57</f>
        <v>824.19999999999982</v>
      </c>
      <c r="G6" s="19">
        <f>131.97 + 7.66</f>
        <v>139.63</v>
      </c>
      <c r="H6" s="19">
        <f>414.32</f>
        <v>414.32</v>
      </c>
      <c r="I6" s="19"/>
      <c r="J6" s="19"/>
      <c r="K6" s="19">
        <f>218.68 + 946.87 + 82.55</f>
        <v>1248.0999999999999</v>
      </c>
      <c r="L6" s="19">
        <f>749.54</f>
        <v>749.54</v>
      </c>
      <c r="M6" s="19">
        <f>717.25 + 66.3 + 745.94</f>
        <v>1529.49</v>
      </c>
      <c r="N6" s="20">
        <f t="shared" ref="N6:N8" si="0">SUM(B6:M6)</f>
        <v>6023.44</v>
      </c>
      <c r="O6" s="20">
        <f t="shared" ref="O6:O8" si="1">N6/COLUMNS(B6:M6)</f>
        <v>501.95333333333332</v>
      </c>
      <c r="P6" s="13"/>
      <c r="Q6" s="13" t="s">
        <v>17</v>
      </c>
      <c r="R6" s="17">
        <f>N9</f>
        <v>21871.8</v>
      </c>
      <c r="S6" s="13"/>
      <c r="T6" s="13"/>
      <c r="U6" s="13"/>
      <c r="V6" s="13"/>
      <c r="W6" s="13"/>
      <c r="X6" s="13"/>
      <c r="Y6" s="13"/>
      <c r="Z6" s="13"/>
    </row>
    <row r="7" spans="1:26" ht="14.25" customHeight="1">
      <c r="A7" s="18" t="s">
        <v>18</v>
      </c>
      <c r="B7" s="19">
        <f>15.45</f>
        <v>15.45</v>
      </c>
      <c r="C7" s="19">
        <f>22 + 20 + 23 + 27</f>
        <v>92</v>
      </c>
      <c r="D7" s="19">
        <f>8.5 + 35 + 8.5</f>
        <v>52</v>
      </c>
      <c r="E7" s="19">
        <f>20 + 17 + 3</f>
        <v>40</v>
      </c>
      <c r="F7" s="19">
        <f>25.81 + 8</f>
        <v>33.81</v>
      </c>
      <c r="G7" s="19"/>
      <c r="H7" s="19">
        <f>10+52+8.33+0.67+40.65+62.12</f>
        <v>173.77</v>
      </c>
      <c r="I7" s="19">
        <f>11.09 + 895.66 + 21.15</f>
        <v>927.9</v>
      </c>
      <c r="J7" s="19">
        <f>57 + 55 + 54 + 20</f>
        <v>186</v>
      </c>
      <c r="K7" s="19">
        <f>120 + 32 + 35 + 73 + 14 + 3</f>
        <v>277</v>
      </c>
      <c r="L7" s="19">
        <f>14 + 24.21</f>
        <v>38.21</v>
      </c>
      <c r="M7" s="19">
        <f>40 + 36.75 + 42.4 + 85.8 + 235</f>
        <v>439.95</v>
      </c>
      <c r="N7" s="20">
        <f t="shared" si="0"/>
        <v>2276.0899999999997</v>
      </c>
      <c r="O7" s="20">
        <f t="shared" si="1"/>
        <v>189.67416666666665</v>
      </c>
      <c r="P7" s="13"/>
      <c r="Q7" s="50" t="s">
        <v>19</v>
      </c>
      <c r="R7" s="17">
        <f>SUM(N17,N26,N32,N43,N61,N66)</f>
        <v>15290.039999999999</v>
      </c>
      <c r="S7" s="13"/>
      <c r="T7" s="13"/>
      <c r="U7" s="13"/>
      <c r="V7" s="13"/>
      <c r="W7" s="13"/>
      <c r="X7" s="13"/>
      <c r="Y7" s="13"/>
      <c r="Z7" s="13"/>
    </row>
    <row r="8" spans="1:26" ht="14.25" customHeight="1">
      <c r="A8" s="18" t="s">
        <v>20</v>
      </c>
      <c r="B8" s="14">
        <f>30 + 30 + 6227.57</f>
        <v>6287.57</v>
      </c>
      <c r="C8" s="14">
        <f>30 + 35</f>
        <v>65</v>
      </c>
      <c r="D8" s="14">
        <f>20 + 20</f>
        <v>40</v>
      </c>
      <c r="E8" s="14">
        <f>40</f>
        <v>40</v>
      </c>
      <c r="F8" s="14">
        <f>50 + 100 + 460 + 107.5 + 48 + 1497.65</f>
        <v>2263.15</v>
      </c>
      <c r="G8" s="14">
        <v>655</v>
      </c>
      <c r="H8" s="14">
        <f>50+50</f>
        <v>100</v>
      </c>
      <c r="I8" s="14"/>
      <c r="J8" s="14"/>
      <c r="K8" s="14">
        <f>50 + 250 + 60 + 3436.55</f>
        <v>3796.55</v>
      </c>
      <c r="L8" s="14">
        <f>50 + 150</f>
        <v>200</v>
      </c>
      <c r="M8" s="15">
        <f>125</f>
        <v>125</v>
      </c>
      <c r="N8" s="20">
        <f t="shared" si="0"/>
        <v>13572.27</v>
      </c>
      <c r="O8" s="20">
        <f t="shared" si="1"/>
        <v>1131.0225</v>
      </c>
      <c r="P8" s="13"/>
      <c r="Q8" s="13" t="s">
        <v>21</v>
      </c>
      <c r="R8" s="17">
        <f>(R6-R7)</f>
        <v>6581.76</v>
      </c>
      <c r="S8" s="13"/>
      <c r="T8" s="13"/>
      <c r="U8" s="16"/>
      <c r="V8" s="13"/>
      <c r="W8" s="13"/>
      <c r="X8" s="13"/>
      <c r="Y8" s="13"/>
      <c r="Z8" s="13"/>
    </row>
    <row r="9" spans="1:26" ht="14.25" customHeight="1">
      <c r="A9" s="53" t="str">
        <f>"Total " &amp; 'Input Sheet'!$A$5</f>
        <v>Total Income</v>
      </c>
      <c r="B9" s="34">
        <f>SUBTOTAL(109,'Input Sheet'!$B$6:$B$8)</f>
        <v>6303.0199999999995</v>
      </c>
      <c r="C9" s="34">
        <f>SUBTOTAL(109,'Input Sheet'!$C$6:$C$8)</f>
        <v>157</v>
      </c>
      <c r="D9" s="34">
        <f>SUBTOTAL(109,'Input Sheet'!$D$6:$D$8)</f>
        <v>414.39</v>
      </c>
      <c r="E9" s="34">
        <f>SUBTOTAL(109,'Input Sheet'!$E$6:$E$8)</f>
        <v>875.77</v>
      </c>
      <c r="F9" s="34">
        <f>SUBTOTAL(109,'Input Sheet'!$F$6:$F$8)</f>
        <v>3121.16</v>
      </c>
      <c r="G9" s="34">
        <f>SUBTOTAL(109,'Input Sheet'!$G$6:$G$8)</f>
        <v>794.63</v>
      </c>
      <c r="H9" s="34">
        <f>SUBTOTAL(109,'Input Sheet'!$H$6:$H$8)</f>
        <v>688.09</v>
      </c>
      <c r="I9" s="34">
        <f>SUBTOTAL(109,'Input Sheet'!$I$6:$I$8)</f>
        <v>927.9</v>
      </c>
      <c r="J9" s="34">
        <f>SUBTOTAL(109,'Input Sheet'!$J$6:$J$8)</f>
        <v>186</v>
      </c>
      <c r="K9" s="34">
        <f>SUBTOTAL(109,'Input Sheet'!$K$6:$K$8)</f>
        <v>5321.65</v>
      </c>
      <c r="L9" s="34">
        <f>SUBTOTAL(109,'Input Sheet'!$L$6:$L$8)</f>
        <v>987.75</v>
      </c>
      <c r="M9" s="34">
        <f>SUBTOTAL(109,'Input Sheet'!$M$6:$M$8)</f>
        <v>2094.44</v>
      </c>
      <c r="N9" s="20">
        <f>SUM(N6:N8)</f>
        <v>21871.8</v>
      </c>
      <c r="O9" s="20">
        <f>'Input Sheet'!$N$9/COLUMNS('Input Sheet'!$B$9:$M$9)</f>
        <v>1822.6499999999999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4.25" customHeight="1">
      <c r="A11" s="22" t="s">
        <v>22</v>
      </c>
      <c r="B11" s="26" t="s">
        <v>1</v>
      </c>
      <c r="C11" s="26" t="s">
        <v>2</v>
      </c>
      <c r="D11" s="26" t="s">
        <v>3</v>
      </c>
      <c r="E11" s="26" t="s">
        <v>4</v>
      </c>
      <c r="F11" s="26" t="s">
        <v>5</v>
      </c>
      <c r="G11" s="26" t="s">
        <v>6</v>
      </c>
      <c r="H11" s="26" t="s">
        <v>7</v>
      </c>
      <c r="I11" s="26" t="s">
        <v>8</v>
      </c>
      <c r="J11" s="26" t="s">
        <v>9</v>
      </c>
      <c r="K11" s="26" t="s">
        <v>10</v>
      </c>
      <c r="L11" s="26" t="s">
        <v>11</v>
      </c>
      <c r="M11" s="26" t="s">
        <v>12</v>
      </c>
      <c r="N11" s="52" t="s">
        <v>13</v>
      </c>
      <c r="O11" s="52" t="s">
        <v>14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>
      <c r="A12" s="25" t="s">
        <v>23</v>
      </c>
      <c r="B12" s="31"/>
      <c r="C12" s="31">
        <f>8.9 + 10.2</f>
        <v>19.100000000000001</v>
      </c>
      <c r="D12" s="31">
        <f>8.9</f>
        <v>8.9</v>
      </c>
      <c r="E12" s="31">
        <f>8.9 + 20.8 + 6.5</f>
        <v>36.200000000000003</v>
      </c>
      <c r="F12" s="31">
        <f>7.8 + 83.5 + 8.9</f>
        <v>100.2</v>
      </c>
      <c r="G12" s="31">
        <f>8.9 + 19.4 + 23.4</f>
        <v>51.699999999999996</v>
      </c>
      <c r="H12" s="31">
        <f>17.29+8.9</f>
        <v>26.189999999999998</v>
      </c>
      <c r="I12" s="31"/>
      <c r="J12" s="31">
        <f>18.2 + 23.4 + 9.1 + 5.7 + 6.7 + 10.6</f>
        <v>73.7</v>
      </c>
      <c r="K12" s="31">
        <f>10.6 + 18.2 + 10.6 + 3 + 11 + 9.2 + 5.5 + 5.5 + 7.2 + 9.2 + 4.6</f>
        <v>94.6</v>
      </c>
      <c r="L12" s="31">
        <f>2.5 + 11 + 7.8 + 2.5 + 5.5 + 5.5 + 3 + 5.5 + 4.6 + 4.3 + 2.3 + 5.5 + 9.2</f>
        <v>69.199999999999989</v>
      </c>
      <c r="M12" s="31">
        <f>5.5 + 5.5 + 5.5 + 2.5 + 5.5 + 2.3 + 3.9 + 3.9 + 4.6 + 24 + 3.9 + 3.9</f>
        <v>71.000000000000014</v>
      </c>
      <c r="N12" s="20">
        <f>SUM(B12:M12)</f>
        <v>550.79000000000008</v>
      </c>
      <c r="O12" s="20">
        <f>AVERAGE(B12:M12)</f>
        <v>55.079000000000008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4.25" customHeight="1">
      <c r="A13" s="25" t="s">
        <v>24</v>
      </c>
      <c r="B13" s="31">
        <v>11.27</v>
      </c>
      <c r="C13" s="31">
        <v>4</v>
      </c>
      <c r="D13" s="31">
        <f>39.05</f>
        <v>39.049999999999997</v>
      </c>
      <c r="E13" s="31">
        <v>4</v>
      </c>
      <c r="F13" s="31">
        <v>4</v>
      </c>
      <c r="G13" s="31">
        <v>4</v>
      </c>
      <c r="H13" s="31">
        <v>4</v>
      </c>
      <c r="I13" s="31">
        <v>4</v>
      </c>
      <c r="J13" s="31">
        <v>4</v>
      </c>
      <c r="K13" s="31">
        <f>3 + 3 + 3</f>
        <v>9</v>
      </c>
      <c r="L13" s="31">
        <v>4</v>
      </c>
      <c r="M13" s="31">
        <v>4</v>
      </c>
      <c r="N13" s="20">
        <f t="shared" ref="N13:N16" si="2">SUM(B13:M13)</f>
        <v>95.32</v>
      </c>
      <c r="O13" s="20">
        <f t="shared" ref="O13:O16" si="3">AVERAGE(B13:M13)</f>
        <v>7.9433333333333325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>
      <c r="A14" s="25" t="s">
        <v>25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20">
        <f t="shared" si="2"/>
        <v>0</v>
      </c>
      <c r="O14" s="20" t="e">
        <f t="shared" si="3"/>
        <v>#DIV/0!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.25" customHeight="1">
      <c r="A15" s="25" t="s">
        <v>26</v>
      </c>
      <c r="B15" s="31"/>
      <c r="C15" s="31"/>
      <c r="D15" s="31"/>
      <c r="E15" s="31">
        <f>2.1</f>
        <v>2.1</v>
      </c>
      <c r="F15" s="31">
        <f>1.7 + 4.2</f>
        <v>5.9</v>
      </c>
      <c r="G15" s="31"/>
      <c r="H15" s="31">
        <f>3.22+3.22+3.22+3.22+3.22+3.22+3.22</f>
        <v>22.54</v>
      </c>
      <c r="I15" s="31"/>
      <c r="J15" s="31">
        <f>21</f>
        <v>21</v>
      </c>
      <c r="K15" s="31">
        <f>3 + 3 + 21</f>
        <v>27</v>
      </c>
      <c r="L15" s="31">
        <f>21</f>
        <v>21</v>
      </c>
      <c r="M15" s="31"/>
      <c r="N15" s="20">
        <f t="shared" si="2"/>
        <v>99.539999999999992</v>
      </c>
      <c r="O15" s="20">
        <f t="shared" si="3"/>
        <v>16.59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>
      <c r="A16" s="25" t="s">
        <v>20</v>
      </c>
      <c r="B16" s="31"/>
      <c r="C16" s="31">
        <f>8.9</f>
        <v>8.9</v>
      </c>
      <c r="D16" s="31"/>
      <c r="E16" s="31"/>
      <c r="F16" s="31"/>
      <c r="G16" s="31"/>
      <c r="H16" s="31">
        <f>2.66</f>
        <v>2.66</v>
      </c>
      <c r="I16" s="31">
        <f>3.33 + 3.32 + 2.33 + 1.9 + 2 + 2.32 + 2.66 + 3.15 + 2.99 + 4.99 + 4.15 + 4.83 + 0.84 + 4.59 + 2.8 + 2.31 + 0.99</f>
        <v>49.500000000000007</v>
      </c>
      <c r="J16" s="31">
        <f>58 + 3.98 + 1.66 + 9.08 + 2.64 + 2 + 1.42 + 8.33 + 15.97 + 78 + 1.4</f>
        <v>182.48</v>
      </c>
      <c r="K16" s="31"/>
      <c r="L16" s="31">
        <f>17.97 + 2.3</f>
        <v>20.27</v>
      </c>
      <c r="M16" s="31"/>
      <c r="N16" s="20">
        <f t="shared" si="2"/>
        <v>263.81</v>
      </c>
      <c r="O16" s="20">
        <f t="shared" si="3"/>
        <v>52.762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4.25" customHeight="1">
      <c r="A17" s="53" t="str">
        <f>"Total "&amp;'Input Sheet'!$A$11</f>
        <v>Total Transportation</v>
      </c>
      <c r="B17" s="38">
        <f>SUBTOTAL(109,'Input Sheet'!$B$12:$B$16)</f>
        <v>11.27</v>
      </c>
      <c r="C17" s="38">
        <f>SUBTOTAL(109,'Input Sheet'!$C$12:$C$16)</f>
        <v>32</v>
      </c>
      <c r="D17" s="38">
        <f>SUBTOTAL(109,'Input Sheet'!$D$12:$D$16)</f>
        <v>47.949999999999996</v>
      </c>
      <c r="E17" s="38">
        <f>SUBTOTAL(109,'Input Sheet'!$E$12:$E$16)</f>
        <v>42.300000000000004</v>
      </c>
      <c r="F17" s="38">
        <f>SUBTOTAL(109,'Input Sheet'!$F$12:$F$16)</f>
        <v>110.10000000000001</v>
      </c>
      <c r="G17" s="38">
        <f>SUBTOTAL(109,'Input Sheet'!$G$12:$G$16)</f>
        <v>55.699999999999996</v>
      </c>
      <c r="H17" s="38">
        <f>SUBTOTAL(109,'Input Sheet'!$H$12:$H$16)</f>
        <v>55.39</v>
      </c>
      <c r="I17" s="38">
        <f>SUBTOTAL(109,'Input Sheet'!$I$12:$I$16)</f>
        <v>53.500000000000007</v>
      </c>
      <c r="J17" s="38">
        <f>SUBTOTAL(109,'Input Sheet'!$J$12:$J$16)</f>
        <v>281.18</v>
      </c>
      <c r="K17" s="38">
        <f>SUBTOTAL(109,'Input Sheet'!$K$12:$K$16)</f>
        <v>130.6</v>
      </c>
      <c r="L17" s="38">
        <f>SUBTOTAL(109,'Input Sheet'!$L$12:$L$16)</f>
        <v>114.46999999999998</v>
      </c>
      <c r="M17" s="38">
        <f>SUBTOTAL(109,'Input Sheet'!$M$12:$M$16)</f>
        <v>75.000000000000014</v>
      </c>
      <c r="N17" s="20">
        <f>SUM(N12:N16)</f>
        <v>1009.46</v>
      </c>
      <c r="O17" s="20">
        <f>AVERAGE(B12:M16)</f>
        <v>30.589696969696966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51"/>
      <c r="O18" s="51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4.25" customHeight="1">
      <c r="A19" s="22" t="s">
        <v>27</v>
      </c>
      <c r="B19" s="26" t="s">
        <v>1</v>
      </c>
      <c r="C19" s="26" t="s">
        <v>2</v>
      </c>
      <c r="D19" s="26" t="s">
        <v>3</v>
      </c>
      <c r="E19" s="26" t="s">
        <v>4</v>
      </c>
      <c r="F19" s="26" t="s">
        <v>5</v>
      </c>
      <c r="G19" s="26" t="s">
        <v>6</v>
      </c>
      <c r="H19" s="26" t="s">
        <v>7</v>
      </c>
      <c r="I19" s="26" t="s">
        <v>8</v>
      </c>
      <c r="J19" s="26" t="s">
        <v>9</v>
      </c>
      <c r="K19" s="26" t="s">
        <v>10</v>
      </c>
      <c r="L19" s="26" t="s">
        <v>11</v>
      </c>
      <c r="M19" s="26" t="s">
        <v>12</v>
      </c>
      <c r="N19" s="52" t="s">
        <v>13</v>
      </c>
      <c r="O19" s="52" t="s">
        <v>14</v>
      </c>
      <c r="P19" s="13"/>
      <c r="Q19" s="13"/>
      <c r="R19" s="13"/>
      <c r="S19" s="13"/>
      <c r="T19" s="28"/>
      <c r="U19" s="28"/>
      <c r="V19" s="28"/>
      <c r="W19" s="13"/>
      <c r="X19" s="13"/>
      <c r="Y19" s="13"/>
      <c r="Z19" s="13"/>
    </row>
    <row r="20" spans="1:26" ht="14.25" customHeight="1">
      <c r="A20" s="25" t="s">
        <v>28</v>
      </c>
      <c r="B20" s="31">
        <f>37.38 + 30</f>
        <v>67.38</v>
      </c>
      <c r="C20" s="31"/>
      <c r="D20" s="31">
        <v>62</v>
      </c>
      <c r="E20" s="31">
        <f>30 + 37.38</f>
        <v>67.38</v>
      </c>
      <c r="F20" s="31"/>
      <c r="G20" s="31"/>
      <c r="H20" s="31">
        <f>30 + 37.38</f>
        <v>67.38</v>
      </c>
      <c r="I20" s="31"/>
      <c r="J20" s="31"/>
      <c r="K20" s="31">
        <f>30.9 + 37.56</f>
        <v>68.460000000000008</v>
      </c>
      <c r="L20" s="31"/>
      <c r="M20" s="31"/>
      <c r="N20" s="20">
        <f>SUM(B20:M20)</f>
        <v>332.6</v>
      </c>
      <c r="O20" s="20">
        <f>AVERAGE(B20:M20)</f>
        <v>66.52000000000001</v>
      </c>
      <c r="P20" s="13"/>
      <c r="Q20" s="13"/>
      <c r="R20" s="13"/>
      <c r="S20" s="13"/>
      <c r="T20" s="28"/>
      <c r="U20" s="29"/>
      <c r="V20" s="28"/>
      <c r="W20" s="13"/>
      <c r="X20" s="13"/>
      <c r="Y20" s="13"/>
      <c r="Z20" s="13"/>
    </row>
    <row r="21" spans="1:26" ht="14.25" customHeight="1">
      <c r="A21" s="25" t="s">
        <v>29</v>
      </c>
      <c r="B21" s="31"/>
      <c r="C21" s="31"/>
      <c r="D21" s="31"/>
      <c r="E21" s="31"/>
      <c r="F21" s="31"/>
      <c r="G21" s="31"/>
      <c r="H21" s="31"/>
      <c r="I21" s="31"/>
      <c r="J21" s="31">
        <f>12.5</f>
        <v>12.5</v>
      </c>
      <c r="K21" s="31">
        <f>14.9 + 2.8 + 92.45</f>
        <v>110.15</v>
      </c>
      <c r="L21" s="31"/>
      <c r="M21" s="31"/>
      <c r="N21" s="20">
        <f t="shared" ref="N21:N25" si="4">SUM(B21:M21)</f>
        <v>122.65</v>
      </c>
      <c r="O21" s="20">
        <f t="shared" ref="O21:O25" si="5">AVERAGE(B21:M21)</f>
        <v>61.325000000000003</v>
      </c>
      <c r="P21" s="13"/>
      <c r="Q21" s="13"/>
      <c r="R21" s="13"/>
      <c r="S21" s="13"/>
      <c r="T21" s="28"/>
      <c r="U21" s="29"/>
      <c r="V21" s="28"/>
      <c r="W21" s="13"/>
      <c r="X21" s="13"/>
      <c r="Y21" s="13"/>
      <c r="Z21" s="13"/>
    </row>
    <row r="22" spans="1:26" ht="14.25" customHeight="1">
      <c r="A22" s="25" t="s">
        <v>30</v>
      </c>
      <c r="B22" s="31"/>
      <c r="C22" s="31"/>
      <c r="D22" s="31"/>
      <c r="E22" s="31"/>
      <c r="F22" s="31"/>
      <c r="G22" s="31"/>
      <c r="H22" s="31">
        <f>13.07</f>
        <v>13.07</v>
      </c>
      <c r="I22" s="31"/>
      <c r="J22" s="31">
        <f>54 + 4</f>
        <v>58</v>
      </c>
      <c r="K22" s="31">
        <f>21.02 + 39</f>
        <v>60.019999999999996</v>
      </c>
      <c r="L22" s="31">
        <f>36.21 + 12.5</f>
        <v>48.71</v>
      </c>
      <c r="M22" s="31">
        <f>4</f>
        <v>4</v>
      </c>
      <c r="N22" s="20">
        <f t="shared" si="4"/>
        <v>183.79999999999998</v>
      </c>
      <c r="O22" s="20">
        <f t="shared" si="5"/>
        <v>36.76</v>
      </c>
      <c r="P22" s="13"/>
      <c r="Q22" s="13"/>
      <c r="R22" s="13"/>
      <c r="S22" s="13"/>
      <c r="T22" s="28"/>
      <c r="U22" s="29"/>
      <c r="V22" s="28"/>
      <c r="W22" s="13"/>
      <c r="X22" s="13"/>
      <c r="Y22" s="13"/>
      <c r="Z22" s="13"/>
    </row>
    <row r="23" spans="1:26" ht="14.25" customHeight="1">
      <c r="A23" s="25" t="s">
        <v>31</v>
      </c>
      <c r="B23" s="31"/>
      <c r="C23" s="31"/>
      <c r="D23" s="31"/>
      <c r="E23" s="31"/>
      <c r="F23" s="31"/>
      <c r="G23" s="31"/>
      <c r="H23" s="31"/>
      <c r="I23" s="31"/>
      <c r="J23" s="31">
        <f>40.6</f>
        <v>40.6</v>
      </c>
      <c r="K23" s="31">
        <f>18.74</f>
        <v>18.739999999999998</v>
      </c>
      <c r="L23" s="31"/>
      <c r="M23" s="31">
        <f>14.18</f>
        <v>14.18</v>
      </c>
      <c r="N23" s="20">
        <f t="shared" si="4"/>
        <v>73.52000000000001</v>
      </c>
      <c r="O23" s="20">
        <f t="shared" si="5"/>
        <v>24.506666666666671</v>
      </c>
      <c r="P23" s="13"/>
      <c r="Q23" s="13"/>
      <c r="R23" s="13"/>
      <c r="S23" s="13"/>
      <c r="T23" s="28"/>
      <c r="U23" s="29"/>
      <c r="V23" s="28"/>
      <c r="W23" s="13"/>
      <c r="X23" s="13"/>
      <c r="Y23" s="13"/>
      <c r="Z23" s="13"/>
    </row>
    <row r="24" spans="1:26" ht="14.25" customHeight="1">
      <c r="A24" s="25" t="s">
        <v>32</v>
      </c>
      <c r="B24" s="31"/>
      <c r="C24" s="31">
        <v>46.9</v>
      </c>
      <c r="D24" s="31"/>
      <c r="E24" s="31"/>
      <c r="F24" s="31"/>
      <c r="G24" s="31"/>
      <c r="H24" s="31"/>
      <c r="I24" s="31"/>
      <c r="J24" s="31">
        <f>28</f>
        <v>28</v>
      </c>
      <c r="K24" s="31"/>
      <c r="L24" s="31"/>
      <c r="M24" s="31"/>
      <c r="N24" s="20">
        <f t="shared" si="4"/>
        <v>74.900000000000006</v>
      </c>
      <c r="O24" s="20">
        <f t="shared" si="5"/>
        <v>37.450000000000003</v>
      </c>
      <c r="P24" s="13"/>
      <c r="Q24" s="13"/>
      <c r="R24" s="13"/>
      <c r="S24" s="13"/>
      <c r="T24" s="28"/>
      <c r="U24" s="29"/>
      <c r="V24" s="28"/>
      <c r="W24" s="13"/>
      <c r="X24" s="13"/>
      <c r="Y24" s="13"/>
      <c r="Z24" s="13"/>
    </row>
    <row r="25" spans="1:26" ht="14.25" customHeight="1">
      <c r="A25" s="25" t="s">
        <v>20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20">
        <f t="shared" si="4"/>
        <v>0</v>
      </c>
      <c r="O25" s="20" t="e">
        <f t="shared" si="5"/>
        <v>#DIV/0!</v>
      </c>
      <c r="P25" s="13"/>
      <c r="Q25" s="13"/>
      <c r="R25" s="13"/>
      <c r="S25" s="13"/>
      <c r="T25" s="28"/>
      <c r="U25" s="29"/>
      <c r="V25" s="28"/>
      <c r="W25" s="13"/>
      <c r="X25" s="13"/>
      <c r="Y25" s="13"/>
      <c r="Z25" s="13"/>
    </row>
    <row r="26" spans="1:26" ht="14.25" customHeight="1">
      <c r="A26" s="53" t="str">
        <f>"Total "&amp;'Input Sheet'!$A$19</f>
        <v>Total Health</v>
      </c>
      <c r="B26" s="38">
        <f>SUBTOTAL(109,'Input Sheet'!$B$20:$B$25)</f>
        <v>67.38</v>
      </c>
      <c r="C26" s="38">
        <f>SUBTOTAL(109,'Input Sheet'!$C$20:$C$25)</f>
        <v>46.9</v>
      </c>
      <c r="D26" s="38">
        <f>SUBTOTAL(109,'Input Sheet'!$D$20:$D$25)</f>
        <v>62</v>
      </c>
      <c r="E26" s="38">
        <f>SUBTOTAL(109,'Input Sheet'!$E$20:$E$25)</f>
        <v>67.38</v>
      </c>
      <c r="F26" s="38">
        <f>SUBTOTAL(109,'Input Sheet'!$F$20:$F$25)</f>
        <v>0</v>
      </c>
      <c r="G26" s="38">
        <f>SUBTOTAL(109,'Input Sheet'!$G$20:$G$25)</f>
        <v>0</v>
      </c>
      <c r="H26" s="38">
        <f>SUBTOTAL(109,'Input Sheet'!$H$20:$H$25)</f>
        <v>80.449999999999989</v>
      </c>
      <c r="I26" s="38">
        <f>SUBTOTAL(109,'Input Sheet'!$I$20:$I$25)</f>
        <v>0</v>
      </c>
      <c r="J26" s="38">
        <f>SUBTOTAL(109,'Input Sheet'!$J$20:$J$25)</f>
        <v>139.1</v>
      </c>
      <c r="K26" s="38">
        <f>SUBTOTAL(109,'Input Sheet'!$K$20:$K$25)</f>
        <v>257.37</v>
      </c>
      <c r="L26" s="38">
        <f>SUBTOTAL(109,'Input Sheet'!$L$20:$L$25)</f>
        <v>48.71</v>
      </c>
      <c r="M26" s="38">
        <f>SUBTOTAL(109,'Input Sheet'!$M$20:$M$25)</f>
        <v>18.18</v>
      </c>
      <c r="N26" s="20">
        <f>SUM(N20:N25)</f>
        <v>787.46999999999991</v>
      </c>
      <c r="O26" s="20">
        <f>AVERAGE(O20:O24)</f>
        <v>45.312333333333335</v>
      </c>
      <c r="P26" s="13"/>
      <c r="Q26" s="13"/>
      <c r="R26" s="13"/>
      <c r="S26" s="13"/>
      <c r="T26" s="28"/>
      <c r="U26" s="28"/>
      <c r="V26" s="28"/>
      <c r="W26" s="13"/>
      <c r="X26" s="13"/>
      <c r="Y26" s="13"/>
      <c r="Z26" s="13"/>
    </row>
    <row r="27" spans="1:26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4.25" customHeight="1">
      <c r="A28" s="22" t="s">
        <v>33</v>
      </c>
      <c r="B28" s="26" t="s">
        <v>1</v>
      </c>
      <c r="C28" s="26" t="s">
        <v>2</v>
      </c>
      <c r="D28" s="26" t="s">
        <v>3</v>
      </c>
      <c r="E28" s="26" t="s">
        <v>4</v>
      </c>
      <c r="F28" s="26" t="s">
        <v>5</v>
      </c>
      <c r="G28" s="26" t="s">
        <v>6</v>
      </c>
      <c r="H28" s="26" t="s">
        <v>7</v>
      </c>
      <c r="I28" s="26" t="s">
        <v>8</v>
      </c>
      <c r="J28" s="26" t="s">
        <v>9</v>
      </c>
      <c r="K28" s="26" t="s">
        <v>10</v>
      </c>
      <c r="L28" s="26" t="s">
        <v>11</v>
      </c>
      <c r="M28" s="26" t="s">
        <v>12</v>
      </c>
      <c r="N28" s="52" t="s">
        <v>13</v>
      </c>
      <c r="O28" s="52" t="s">
        <v>14</v>
      </c>
      <c r="P28" s="13"/>
      <c r="Q28" s="13"/>
      <c r="R28" s="13"/>
      <c r="S28" s="28"/>
      <c r="T28" s="28"/>
      <c r="U28" s="28"/>
      <c r="V28" s="28"/>
      <c r="W28" s="28"/>
      <c r="X28" s="13"/>
      <c r="Y28" s="13"/>
      <c r="Z28" s="13"/>
    </row>
    <row r="29" spans="1:26" ht="14.25" customHeight="1">
      <c r="A29" s="25" t="s">
        <v>34</v>
      </c>
      <c r="B29" s="31">
        <v>2</v>
      </c>
      <c r="C29" s="31">
        <v>2</v>
      </c>
      <c r="D29" s="31">
        <v>2</v>
      </c>
      <c r="E29" s="31">
        <v>2</v>
      </c>
      <c r="F29" s="31">
        <v>2</v>
      </c>
      <c r="G29" s="31">
        <v>2</v>
      </c>
      <c r="H29" s="31">
        <v>2</v>
      </c>
      <c r="I29" s="31">
        <v>2</v>
      </c>
      <c r="J29" s="31">
        <v>2</v>
      </c>
      <c r="K29" s="31">
        <v>2</v>
      </c>
      <c r="L29" s="31">
        <v>2</v>
      </c>
      <c r="M29" s="31">
        <v>2</v>
      </c>
      <c r="N29" s="20">
        <f>SUM(B29:M29)</f>
        <v>24</v>
      </c>
      <c r="O29" s="20">
        <f>N29/COLUMNS(B29:M29)</f>
        <v>2</v>
      </c>
      <c r="P29" s="13"/>
      <c r="Q29" s="13"/>
      <c r="R29" s="13"/>
      <c r="S29" s="28"/>
      <c r="T29" s="28"/>
      <c r="U29" s="28"/>
      <c r="V29" s="28"/>
      <c r="W29" s="28"/>
      <c r="X29" s="13"/>
      <c r="Y29" s="13"/>
      <c r="Z29" s="13"/>
    </row>
    <row r="30" spans="1:26" ht="14.25" customHeight="1">
      <c r="A30" s="25" t="s">
        <v>35</v>
      </c>
      <c r="B30" s="31"/>
      <c r="C30" s="31">
        <f>9</f>
        <v>9</v>
      </c>
      <c r="D30" s="31"/>
      <c r="E30" s="31">
        <f>10 + 31.5</f>
        <v>41.5</v>
      </c>
      <c r="F30" s="31">
        <f>15.99 + 20</f>
        <v>35.99</v>
      </c>
      <c r="G30" s="31">
        <v>76</v>
      </c>
      <c r="H30" s="31"/>
      <c r="I30" s="31"/>
      <c r="J30" s="31">
        <f>21.86</f>
        <v>21.86</v>
      </c>
      <c r="K30" s="31"/>
      <c r="L30" s="31"/>
      <c r="M30" s="31">
        <f>7.7 + 15.2 + 42.75 + 14</f>
        <v>79.650000000000006</v>
      </c>
      <c r="N30" s="20">
        <f>SUM(B30:M30)</f>
        <v>264</v>
      </c>
      <c r="O30" s="20">
        <f>N30/COLUMNS(B30:M30)</f>
        <v>22</v>
      </c>
      <c r="P30" s="12"/>
      <c r="Q30" s="13"/>
      <c r="R30" s="13"/>
      <c r="S30" s="28"/>
      <c r="T30" s="28"/>
      <c r="U30" s="29"/>
      <c r="V30" s="28"/>
      <c r="W30" s="28"/>
      <c r="X30" s="13"/>
      <c r="Y30" s="13"/>
      <c r="Z30" s="13"/>
    </row>
    <row r="31" spans="1:26" ht="14.25" customHeight="1">
      <c r="A31" s="25" t="s">
        <v>20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2"/>
      <c r="M31" s="31"/>
      <c r="N31" s="20">
        <f>SUM(B31:M31)</f>
        <v>0</v>
      </c>
      <c r="O31" s="20">
        <f>N31/COLUMNS(B31:M31)</f>
        <v>0</v>
      </c>
      <c r="P31" s="13"/>
      <c r="Q31" s="13"/>
      <c r="R31" s="13"/>
      <c r="S31" s="28"/>
      <c r="T31" s="28"/>
      <c r="U31" s="29"/>
      <c r="V31" s="28"/>
      <c r="W31" s="28"/>
      <c r="X31" s="13"/>
      <c r="Y31" s="13"/>
      <c r="Z31" s="13"/>
    </row>
    <row r="32" spans="1:26" ht="14.25" customHeight="1">
      <c r="A32" s="53" t="str">
        <f>"Total " &amp; 'Input Sheet'!$A$28</f>
        <v>Total Charity_Gifts</v>
      </c>
      <c r="B32" s="38">
        <f>SUBTOTAL(109,'Input Sheet'!$B$29:$B$31)</f>
        <v>2</v>
      </c>
      <c r="C32" s="38">
        <f>SUBTOTAL(109,'Input Sheet'!$C$29:$C$31)</f>
        <v>11</v>
      </c>
      <c r="D32" s="38">
        <f>SUBTOTAL(109,'Input Sheet'!$D$29:$D$31)</f>
        <v>2</v>
      </c>
      <c r="E32" s="38">
        <f>SUBTOTAL(109,'Input Sheet'!$E$29:$E$31)</f>
        <v>43.5</v>
      </c>
      <c r="F32" s="38">
        <f>SUBTOTAL(109,'Input Sheet'!$F$29:$F$31)</f>
        <v>37.99</v>
      </c>
      <c r="G32" s="38">
        <f>SUBTOTAL(109,'Input Sheet'!$G$29:$G$31)</f>
        <v>78</v>
      </c>
      <c r="H32" s="38">
        <f>SUBTOTAL(109,'Input Sheet'!$H$29:$H$31)</f>
        <v>2</v>
      </c>
      <c r="I32" s="38">
        <f>SUBTOTAL(109,'Input Sheet'!$I$29:$I$31)</f>
        <v>2</v>
      </c>
      <c r="J32" s="38">
        <f>SUBTOTAL(109,'Input Sheet'!$J$29:$J$31)</f>
        <v>23.86</v>
      </c>
      <c r="K32" s="38">
        <f>SUBTOTAL(109,'Input Sheet'!$K$29:$K$31)</f>
        <v>2</v>
      </c>
      <c r="L32" s="38">
        <f>SUBTOTAL(109,'Input Sheet'!$L$29:$L$30)</f>
        <v>2</v>
      </c>
      <c r="M32" s="38">
        <f>SUBTOTAL(109,'Input Sheet'!$M$29:$M$31)</f>
        <v>81.650000000000006</v>
      </c>
      <c r="N32" s="20">
        <f>SUBTOTAL(109,'Input Sheet'!$N$29:$N$31)</f>
        <v>288</v>
      </c>
      <c r="O32" s="20">
        <f>'Input Sheet'!$N$32/COLUMNS('Input Sheet'!$B$32:$M$32)</f>
        <v>24</v>
      </c>
      <c r="P32" s="13"/>
      <c r="Q32" s="13"/>
      <c r="R32" s="13"/>
      <c r="S32" s="28"/>
      <c r="T32" s="28"/>
      <c r="U32" s="29"/>
      <c r="V32" s="28"/>
      <c r="W32" s="28"/>
      <c r="X32" s="13"/>
      <c r="Y32" s="13"/>
      <c r="Z32" s="13"/>
    </row>
    <row r="33" spans="1:26" ht="14.25" customHeight="1">
      <c r="A33" s="11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P33" s="13"/>
      <c r="Q33" s="13"/>
      <c r="R33" s="13"/>
      <c r="S33" s="28"/>
      <c r="T33" s="28"/>
      <c r="U33" s="29"/>
      <c r="V33" s="28"/>
      <c r="W33" s="28"/>
      <c r="X33" s="13"/>
      <c r="Y33" s="13"/>
      <c r="Z33" s="13"/>
    </row>
    <row r="34" spans="1:26" ht="14.25" customHeight="1">
      <c r="A34" s="22" t="s">
        <v>36</v>
      </c>
      <c r="B34" s="23" t="s">
        <v>1</v>
      </c>
      <c r="C34" s="23" t="s">
        <v>2</v>
      </c>
      <c r="D34" s="23" t="s">
        <v>3</v>
      </c>
      <c r="E34" s="23" t="s">
        <v>4</v>
      </c>
      <c r="F34" s="23" t="s">
        <v>5</v>
      </c>
      <c r="G34" s="23" t="s">
        <v>6</v>
      </c>
      <c r="H34" s="23" t="s">
        <v>7</v>
      </c>
      <c r="I34" s="23" t="s">
        <v>8</v>
      </c>
      <c r="J34" s="23" t="s">
        <v>9</v>
      </c>
      <c r="K34" s="23" t="s">
        <v>10</v>
      </c>
      <c r="L34" s="23" t="s">
        <v>11</v>
      </c>
      <c r="M34" s="23" t="s">
        <v>12</v>
      </c>
      <c r="N34" s="52" t="s">
        <v>13</v>
      </c>
      <c r="O34" s="52" t="s">
        <v>14</v>
      </c>
      <c r="P34" s="13"/>
      <c r="Q34" s="13"/>
      <c r="R34" s="13"/>
      <c r="S34" s="28"/>
      <c r="T34" s="28"/>
      <c r="U34" s="29"/>
      <c r="V34" s="28"/>
      <c r="W34" s="28"/>
      <c r="X34" s="13"/>
      <c r="Y34" s="13"/>
      <c r="Z34" s="13"/>
    </row>
    <row r="35" spans="1:26" ht="14.25" customHeight="1">
      <c r="A35" s="18" t="s">
        <v>37</v>
      </c>
      <c r="B35" s="19">
        <f>41.21 + 38.14 + 12 + 0.75 + 42.75 + 43 + 4.9 + 47.3</f>
        <v>230.05</v>
      </c>
      <c r="C35" s="19">
        <f>6 + 3 + 4.8 + 25.95 + 25.18 + 2.15</f>
        <v>67.080000000000013</v>
      </c>
      <c r="D35" s="19">
        <f>32.24 + 1.85 + 48.1 + 3.97</f>
        <v>86.16</v>
      </c>
      <c r="E35" s="19">
        <f>1.85 + 5.07 + 9.99 + 15.12 + 29.37 + 10.15 + 8.1 + 9.16</f>
        <v>88.81</v>
      </c>
      <c r="F35" s="19">
        <f>11.68 + 22.58 + 37.93 + 21.94</f>
        <v>94.13</v>
      </c>
      <c r="G35" s="19">
        <f>1.52 + 5.83+3.96</f>
        <v>11.309999999999999</v>
      </c>
      <c r="H35" s="19">
        <f>41.97 + 9.38+32.69+7.91+11.39+29.9+17.22+14.07+7+21.6</f>
        <v>193.12999999999997</v>
      </c>
      <c r="I35" s="19"/>
      <c r="J35" s="19">
        <f>2.82 + 30.48</f>
        <v>33.299999999999997</v>
      </c>
      <c r="K35" s="19">
        <f>12.49 + 28 + 65.07 + 9.71 + 3 + 44.72 + 14.2 + 3.88 + 37.47 + 3 + 8.27</f>
        <v>229.81</v>
      </c>
      <c r="L35" s="19">
        <f>20.17 + 4.95 + 21.36 + 8.51 + 86.12 + 28.85</f>
        <v>169.96</v>
      </c>
      <c r="M35" s="19">
        <f>7.64 + 5.95 + 6.5 + 49.18 + 9.35 + 14.24 + 7.48 + 4.95 + 13.77 + 21.63</f>
        <v>140.69</v>
      </c>
      <c r="N35" s="20">
        <f>SUM(B35:M35)</f>
        <v>1344.43</v>
      </c>
      <c r="O35" s="20">
        <f>N35/COLUMNS(B35:M35)</f>
        <v>112.03583333333334</v>
      </c>
      <c r="P35" s="13"/>
      <c r="Q35" s="13"/>
      <c r="R35" s="13"/>
      <c r="S35" s="28"/>
      <c r="T35" s="28"/>
      <c r="U35" s="29"/>
      <c r="V35" s="28"/>
      <c r="W35" s="28"/>
      <c r="X35" s="13"/>
      <c r="Y35" s="13"/>
      <c r="Z35" s="13"/>
    </row>
    <row r="36" spans="1:26" ht="14.25" customHeight="1">
      <c r="A36" s="18" t="s">
        <v>38</v>
      </c>
      <c r="B36" s="19">
        <v>15</v>
      </c>
      <c r="C36" s="19">
        <v>15</v>
      </c>
      <c r="D36" s="19">
        <v>15</v>
      </c>
      <c r="E36" s="19">
        <v>17.829999999999998</v>
      </c>
      <c r="F36" s="19">
        <v>15</v>
      </c>
      <c r="G36" s="19">
        <v>15</v>
      </c>
      <c r="H36" s="19">
        <v>15</v>
      </c>
      <c r="I36" s="19">
        <v>15</v>
      </c>
      <c r="J36" s="19">
        <v>45.83</v>
      </c>
      <c r="K36" s="19">
        <v>15</v>
      </c>
      <c r="L36" s="19">
        <v>15</v>
      </c>
      <c r="M36" s="19">
        <v>15</v>
      </c>
      <c r="N36" s="20">
        <f>SUM(B36:M36)</f>
        <v>213.66</v>
      </c>
      <c r="O36" s="20">
        <f>N36/COLUMNS(B36:M36)</f>
        <v>17.805</v>
      </c>
      <c r="P36" s="13"/>
      <c r="Q36" s="13"/>
      <c r="R36" s="13"/>
      <c r="S36" s="28"/>
      <c r="T36" s="28"/>
      <c r="U36" s="29"/>
      <c r="V36" s="28"/>
      <c r="W36" s="28"/>
      <c r="X36" s="13"/>
      <c r="Y36" s="13"/>
      <c r="Z36" s="13"/>
    </row>
    <row r="37" spans="1:26" ht="14.25" customHeight="1">
      <c r="A37" s="18" t="s">
        <v>39</v>
      </c>
      <c r="B37" s="19">
        <v>195</v>
      </c>
      <c r="C37" s="19">
        <v>195</v>
      </c>
      <c r="D37" s="19">
        <v>195</v>
      </c>
      <c r="E37" s="19">
        <f>195 + 736.54</f>
        <v>931.54</v>
      </c>
      <c r="F37" s="19">
        <v>195</v>
      </c>
      <c r="G37" s="19">
        <v>195</v>
      </c>
      <c r="H37" s="19">
        <v>195</v>
      </c>
      <c r="I37" s="19"/>
      <c r="J37" s="19"/>
      <c r="K37" s="19"/>
      <c r="L37" s="19"/>
      <c r="M37" s="19"/>
      <c r="N37" s="20">
        <f>SUM(B37:M37)</f>
        <v>2101.54</v>
      </c>
      <c r="O37" s="20">
        <f>N37/COLUMNS(B37:M37)</f>
        <v>175.12833333333333</v>
      </c>
      <c r="P37" s="13"/>
      <c r="Q37" s="13"/>
      <c r="R37" s="13"/>
      <c r="S37" s="28"/>
      <c r="T37" s="28"/>
      <c r="U37" s="29"/>
      <c r="V37" s="28"/>
      <c r="W37" s="28"/>
      <c r="X37" s="13"/>
      <c r="Y37" s="13"/>
      <c r="Z37" s="13"/>
    </row>
    <row r="38" spans="1:26" ht="14.25" customHeight="1">
      <c r="A38" s="18" t="s">
        <v>40</v>
      </c>
      <c r="B38" s="19"/>
      <c r="C38" s="19"/>
      <c r="D38" s="19"/>
      <c r="E38" s="19"/>
      <c r="F38" s="19"/>
      <c r="G38" s="19">
        <f>83.93 + 25</f>
        <v>108.93</v>
      </c>
      <c r="H38" s="19">
        <f>19.98</f>
        <v>19.98</v>
      </c>
      <c r="I38" s="19"/>
      <c r="J38" s="19"/>
      <c r="K38" s="19">
        <f>45.8</f>
        <v>45.8</v>
      </c>
      <c r="L38" s="19">
        <f>5 + 33.7 + 7 + 99.95 + 149.55 + 22.04 + 50 + 9.8 + 18 + 15.4 + 7.69 + 23.92 + 51.2 + 86.54 + 35.09 + 1.38 + 1.98</f>
        <v>618.24000000000012</v>
      </c>
      <c r="M38" s="19">
        <f>35.24 + 89.59 + 20.63</f>
        <v>145.46</v>
      </c>
      <c r="N38" s="20">
        <f>SUM(B38:M38)</f>
        <v>938.41000000000008</v>
      </c>
      <c r="O38" s="20">
        <f>N38/COLUMNS(B38:M38)</f>
        <v>78.200833333333335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4.25" customHeight="1">
      <c r="A39" s="18" t="s">
        <v>41</v>
      </c>
      <c r="B39" s="19">
        <f>16 + 7.5</f>
        <v>23.5</v>
      </c>
      <c r="C39" s="19"/>
      <c r="D39" s="19"/>
      <c r="E39" s="19"/>
      <c r="F39" s="19"/>
      <c r="G39" s="19"/>
      <c r="H39" s="19">
        <f>2.68+2.15+2.68+2.68</f>
        <v>10.19</v>
      </c>
      <c r="I39" s="19"/>
      <c r="J39" s="19"/>
      <c r="K39" s="19"/>
      <c r="L39" s="19"/>
      <c r="M39" s="19"/>
      <c r="N39" s="20">
        <f>SUM(B39:M39)</f>
        <v>33.69</v>
      </c>
      <c r="O39" s="20">
        <f>N39/COLUMNS(B39:M39)</f>
        <v>2.8074999999999997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4.25" customHeight="1">
      <c r="A40" s="18" t="s">
        <v>42</v>
      </c>
      <c r="B40" s="19"/>
      <c r="C40" s="19">
        <v>12.99</v>
      </c>
      <c r="D40" s="19"/>
      <c r="E40" s="19"/>
      <c r="F40" s="19"/>
      <c r="G40" s="19">
        <f>11</f>
        <v>11</v>
      </c>
      <c r="H40" s="19"/>
      <c r="I40" s="19"/>
      <c r="J40" s="19"/>
      <c r="K40" s="19"/>
      <c r="L40" s="19"/>
      <c r="M40" s="19"/>
      <c r="N40" s="20">
        <f>SUM(B40:M40)</f>
        <v>23.990000000000002</v>
      </c>
      <c r="O40" s="20">
        <f>N40/COLUMNS(B40:M40)</f>
        <v>1.9991666666666668</v>
      </c>
      <c r="P40" s="12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4.25" customHeight="1">
      <c r="A41" s="18" t="s">
        <v>43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>
        <f>15 + 23</f>
        <v>38</v>
      </c>
      <c r="M41" s="21">
        <f>23</f>
        <v>23</v>
      </c>
      <c r="N41" s="20">
        <f>SUM(B41:M41)</f>
        <v>61</v>
      </c>
      <c r="O41" s="20">
        <f>N41/COLUMNS(B41:M41)</f>
        <v>5.083333333333333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4.25" customHeight="1">
      <c r="A42" s="25" t="s">
        <v>20</v>
      </c>
      <c r="B42" s="55"/>
      <c r="C42" s="55"/>
      <c r="D42" s="55">
        <f>19.99 + 10.99</f>
        <v>30.979999999999997</v>
      </c>
      <c r="E42" s="55">
        <f>24.99</f>
        <v>24.99</v>
      </c>
      <c r="F42" s="55">
        <v>50</v>
      </c>
      <c r="G42" s="55"/>
      <c r="H42" s="55">
        <f>1.9 + 2.99+0.39+0.86+2.74+0.9+0.86+0.28+1.27+0.38+0.38+0.45+1.16+1.15+0.88+0.68+0.44+1.19+3.67+1+4+67.5</f>
        <v>95.07</v>
      </c>
      <c r="I42" s="55">
        <v>20.81</v>
      </c>
      <c r="J42" s="55">
        <f>25 + 9.5 + 20.59 + 50</f>
        <v>105.09</v>
      </c>
      <c r="K42" s="55">
        <f>1.9 + 1 + 1.1 + 29 + 1.1 + 20.82 + 1.42 + 40</f>
        <v>96.34</v>
      </c>
      <c r="L42" s="55"/>
      <c r="M42" s="55">
        <f>62.5</f>
        <v>62.5</v>
      </c>
      <c r="N42" s="20">
        <f>SUM(B42:M42)</f>
        <v>485.78</v>
      </c>
      <c r="O42" s="20">
        <f>N42/COLUMNS(B42:M42)</f>
        <v>40.481666666666662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4.25" customHeight="1">
      <c r="A43" s="54" t="str">
        <f>"Total " &amp; 'Input Sheet'!$A$34</f>
        <v>Total Daily_Living</v>
      </c>
      <c r="B43" s="38">
        <f>SUBTOTAL(109,'Input Sheet'!$B$35:$B$42)</f>
        <v>463.55</v>
      </c>
      <c r="C43" s="38">
        <f>SUBTOTAL(109,'Input Sheet'!$C$35:$C$42)</f>
        <v>290.07000000000005</v>
      </c>
      <c r="D43" s="38">
        <f>SUBTOTAL(109,'Input Sheet'!$D$35:$D$42)</f>
        <v>327.14</v>
      </c>
      <c r="E43" s="38">
        <f>SUBTOTAL(109,'Input Sheet'!$E$35:$E$42)</f>
        <v>1063.17</v>
      </c>
      <c r="F43" s="38">
        <f>SUBTOTAL(109,'Input Sheet'!$F$35:$F$42)</f>
        <v>354.13</v>
      </c>
      <c r="G43" s="38">
        <f>SUBTOTAL(109,'Input Sheet'!$G$35:$G$42)</f>
        <v>341.24</v>
      </c>
      <c r="H43" s="38">
        <f>SUBTOTAL(109,'Input Sheet'!$H$35:$H$42)</f>
        <v>528.37</v>
      </c>
      <c r="I43" s="38">
        <f>SUBTOTAL(109,'Input Sheet'!$I$35:$I$42)</f>
        <v>35.81</v>
      </c>
      <c r="J43" s="38">
        <f>SUBTOTAL(109,'Input Sheet'!$J$35:$J$42)</f>
        <v>184.22</v>
      </c>
      <c r="K43" s="38">
        <f>SUBTOTAL(109,'Input Sheet'!$K$35:$K$42)</f>
        <v>386.95000000000005</v>
      </c>
      <c r="L43" s="38">
        <f>SUBTOTAL(109,'Input Sheet'!$L$35:$L$42)</f>
        <v>841.20000000000016</v>
      </c>
      <c r="M43" s="38">
        <f>SUBTOTAL(109,'Input Sheet'!$M$35:$M$42)</f>
        <v>386.65</v>
      </c>
      <c r="N43" s="61">
        <f>SUM(N35:N42)</f>
        <v>5202.4999999999991</v>
      </c>
      <c r="O43" s="61">
        <f>AVERAGE(O35:O42)</f>
        <v>54.192708333333329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51"/>
      <c r="O44" s="51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4.25" customHeight="1">
      <c r="A45" s="22" t="s">
        <v>44</v>
      </c>
      <c r="B45" s="26" t="s">
        <v>1</v>
      </c>
      <c r="C45" s="26" t="s">
        <v>2</v>
      </c>
      <c r="D45" s="26" t="s">
        <v>3</v>
      </c>
      <c r="E45" s="26" t="s">
        <v>4</v>
      </c>
      <c r="F45" s="26" t="s">
        <v>5</v>
      </c>
      <c r="G45" s="26" t="s">
        <v>6</v>
      </c>
      <c r="H45" s="26" t="s">
        <v>7</v>
      </c>
      <c r="I45" s="26" t="s">
        <v>8</v>
      </c>
      <c r="J45" s="26" t="s">
        <v>9</v>
      </c>
      <c r="K45" s="26" t="s">
        <v>10</v>
      </c>
      <c r="L45" s="26" t="s">
        <v>11</v>
      </c>
      <c r="M45" s="26" t="s">
        <v>12</v>
      </c>
      <c r="N45" s="52" t="s">
        <v>13</v>
      </c>
      <c r="O45" s="52" t="s">
        <v>14</v>
      </c>
      <c r="P45" s="28"/>
      <c r="Q45" s="28"/>
      <c r="R45" s="28"/>
      <c r="S45" s="13"/>
      <c r="T45" s="13"/>
      <c r="U45" s="13"/>
      <c r="V45" s="13"/>
      <c r="W45" s="13"/>
      <c r="X45" s="13"/>
      <c r="Y45" s="13"/>
      <c r="Z45" s="13"/>
    </row>
    <row r="46" spans="1:26" ht="14.25" customHeight="1">
      <c r="A46" s="25" t="s">
        <v>45</v>
      </c>
      <c r="B46" s="31">
        <f>2 + 14.8 + 6.5 + 6.5 + 6.5</f>
        <v>36.299999999999997</v>
      </c>
      <c r="C46" s="31">
        <f>6 + 21.8 + 14.8 + 14.8 + 27.3 + 16.8 + 4 + 12</f>
        <v>117.5</v>
      </c>
      <c r="D46" s="31">
        <f>14.8 + 17.8 + 16.5 + 14 + 7.5 + 13.3 + 8 + 7.5 + 36</f>
        <v>135.39999999999998</v>
      </c>
      <c r="E46" s="31">
        <f>4.9 + 10 + 4.9 + 4.9 + 4.9 + 7 + 6.3 + 6.5 + 8.6 + 4.3 + 7 + 14.8 + 4.2 + 3.5 + 4.9 + 6.5 + 17 + 6.8 + 15.5 + 14</f>
        <v>156.5</v>
      </c>
      <c r="F46" s="31">
        <f>6.5 + 31.81 + 1 + 11 + 4.8 + 17.5 + 11.4 + 2 + 6.5 + 8.5 + 26</f>
        <v>127.01</v>
      </c>
      <c r="G46" s="31">
        <f>11 + 9 + 7 + 15.5</f>
        <v>42.5</v>
      </c>
      <c r="H46" s="31">
        <f>2.45 + 25.34+17.43+4.69+7.64+17.7+14.07+4.69+4.69+2.55+5.1+6+15.48 + 62</f>
        <v>189.82999999999998</v>
      </c>
      <c r="I46" s="31"/>
      <c r="J46" s="31">
        <f>9.2 + 4.4 + 60 + 12 + 30 + 7.7 + 9.85 + 8.6 + 2.64 + 8.6 + 2.95 + 4.5 + 1.8 + 19.35 + 8 + 5.6 + 15 + 10.5 + 18.9</f>
        <v>239.58999999999997</v>
      </c>
      <c r="K46" s="31">
        <f>17.1 + 16.75 + 14 + 20 + 20.4 + 3.7 + 6 + 64 + 9.95 + 3.4 + 10 + 4.3 + 28 + 11 + 10 + 2.85 + 17.9</f>
        <v>259.34999999999997</v>
      </c>
      <c r="L46" s="31">
        <f>14.15 + 3 + 37 + 12 + 68.5 + 7 + 22 + 16.2 + 7.5 + 3 + 8 + 14.9 + 1.5 + 11.5 + 24.7</f>
        <v>250.95</v>
      </c>
      <c r="M46" s="31">
        <f>7 + 7.16 + 4 + 14.25 + 9.5 + 23 + 26.8 + 1.45 + 9 + 30 + 15 + 12.7 + 32 + 55.5 + 14 + 4.1</f>
        <v>265.46000000000004</v>
      </c>
      <c r="N46" s="20">
        <f>SUM(B46:M46)</f>
        <v>1820.3899999999999</v>
      </c>
      <c r="O46" s="20">
        <f>N46/COLUMNS(B46:M46)</f>
        <v>151.69916666666666</v>
      </c>
      <c r="P46" s="28"/>
      <c r="Q46" s="29"/>
      <c r="R46" s="28"/>
      <c r="S46" s="13"/>
      <c r="T46" s="13"/>
      <c r="U46" s="13"/>
      <c r="V46" s="13"/>
      <c r="W46" s="13"/>
      <c r="X46" s="13"/>
      <c r="Y46" s="13"/>
      <c r="Z46" s="13"/>
    </row>
    <row r="47" spans="1:26" ht="14.25" customHeight="1">
      <c r="A47" s="25" t="s">
        <v>46</v>
      </c>
      <c r="B47" s="31"/>
      <c r="C47" s="31">
        <f>17.85 + 3 + 13.5</f>
        <v>34.35</v>
      </c>
      <c r="D47" s="31"/>
      <c r="E47" s="31">
        <f>3 + 12.8</f>
        <v>15.8</v>
      </c>
      <c r="F47" s="31"/>
      <c r="G47" s="31"/>
      <c r="H47" s="31">
        <f>4.69+7.37+4.4+7.4+3</f>
        <v>26.86</v>
      </c>
      <c r="I47" s="31"/>
      <c r="J47" s="31">
        <f>6.13 + 2.9 + 1.99</f>
        <v>11.02</v>
      </c>
      <c r="K47" s="31">
        <f>11.25 + 6.2 + 6.5 + 3 + 5 + 13.5</f>
        <v>45.45</v>
      </c>
      <c r="L47" s="31">
        <f>14.5 + 28.8 + 2.9 + 13.3 + 9.6 + 9.6 + 9.6</f>
        <v>88.299999999999983</v>
      </c>
      <c r="M47" s="31">
        <f>11.4 + 41 + 6.79 + 35.3 + 13.99 + 30 + 6 + 33 + 8.1 + 11 + 2.9 + 4.5 + 3.2 + 5.8 + 2</f>
        <v>214.98</v>
      </c>
      <c r="N47" s="20">
        <f>SUM(B47:M47)</f>
        <v>436.76</v>
      </c>
      <c r="O47" s="20">
        <f>N47/COLUMNS(B47:M47)</f>
        <v>36.396666666666668</v>
      </c>
      <c r="P47" s="28"/>
      <c r="Q47" s="29"/>
      <c r="R47" s="28"/>
      <c r="S47" s="13"/>
      <c r="T47" s="13"/>
      <c r="U47" s="13"/>
      <c r="V47" s="13"/>
      <c r="W47" s="13"/>
      <c r="X47" s="13"/>
      <c r="Y47" s="13"/>
      <c r="Z47" s="13"/>
    </row>
    <row r="48" spans="1:26" ht="14.25" customHeight="1">
      <c r="A48" s="18" t="s">
        <v>47</v>
      </c>
      <c r="B48" s="27"/>
      <c r="C48" s="27">
        <f>1.97 + 1.97 + 1.6 + 7.7</f>
        <v>13.24</v>
      </c>
      <c r="D48" s="27">
        <f>1.97 + 1.97 + 1.97 + 1.97 + 3.6</f>
        <v>11.48</v>
      </c>
      <c r="E48" s="27">
        <f>1.97 + 1.97</f>
        <v>3.94</v>
      </c>
      <c r="F48" s="27">
        <f>1.97 + 6</f>
        <v>7.97</v>
      </c>
      <c r="G48" s="27">
        <f>1.59 + 3.2</f>
        <v>4.79</v>
      </c>
      <c r="H48" s="27">
        <f>2.01+2.01+2.01+2.01</f>
        <v>8.0399999999999991</v>
      </c>
      <c r="I48" s="27"/>
      <c r="J48" s="27">
        <f>3.46</f>
        <v>3.46</v>
      </c>
      <c r="K48" s="27"/>
      <c r="L48" s="27">
        <f>21.5</f>
        <v>21.5</v>
      </c>
      <c r="M48" s="27">
        <f>3.4 + 4.8 + 7.9</f>
        <v>16.100000000000001</v>
      </c>
      <c r="N48" s="20">
        <f>SUM(B48:M48)</f>
        <v>90.52000000000001</v>
      </c>
      <c r="O48" s="20">
        <f>N48/COLUMNS(B48:M48)</f>
        <v>7.5433333333333339</v>
      </c>
      <c r="P48" s="28"/>
      <c r="Q48" s="29"/>
      <c r="R48" s="28"/>
      <c r="S48" s="13"/>
      <c r="T48" s="13"/>
      <c r="U48" s="13"/>
      <c r="V48" s="13"/>
      <c r="W48" s="13"/>
      <c r="X48" s="13"/>
      <c r="Y48" s="13"/>
      <c r="Z48" s="13"/>
    </row>
    <row r="49" spans="1:26" ht="14.25" customHeight="1">
      <c r="A49" s="18" t="s">
        <v>48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20">
        <f>SUM(B49:M49)</f>
        <v>0</v>
      </c>
      <c r="O49" s="20">
        <f>N49/COLUMNS(B49:M49)</f>
        <v>0</v>
      </c>
      <c r="P49" s="28"/>
      <c r="Q49" s="29"/>
      <c r="R49" s="28"/>
      <c r="S49" s="13"/>
      <c r="T49" s="13"/>
      <c r="U49" s="13"/>
      <c r="V49" s="13"/>
      <c r="W49" s="13"/>
      <c r="X49" s="13"/>
      <c r="Y49" s="13"/>
      <c r="Z49" s="13"/>
    </row>
    <row r="50" spans="1:26" ht="14.25" customHeight="1">
      <c r="A50" s="18" t="s">
        <v>49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>
        <f>10.99</f>
        <v>10.99</v>
      </c>
      <c r="M50" s="19">
        <f>24.95</f>
        <v>24.95</v>
      </c>
      <c r="N50" s="20">
        <f>SUM(B50:M50)</f>
        <v>35.94</v>
      </c>
      <c r="O50" s="20">
        <f>N50/COLUMNS(B50:M50)</f>
        <v>2.9949999999999997</v>
      </c>
      <c r="P50" s="28"/>
      <c r="Q50" s="29"/>
      <c r="R50" s="28"/>
      <c r="S50" s="13"/>
      <c r="T50" s="13"/>
      <c r="U50" s="13"/>
      <c r="V50" s="13"/>
      <c r="W50" s="13"/>
      <c r="X50" s="13"/>
      <c r="Y50" s="13"/>
      <c r="Z50" s="13"/>
    </row>
    <row r="51" spans="1:26" ht="14.25" customHeight="1">
      <c r="A51" s="18" t="s">
        <v>50</v>
      </c>
      <c r="B51" s="19"/>
      <c r="C51" s="19"/>
      <c r="D51" s="19"/>
      <c r="E51" s="19"/>
      <c r="F51" s="19"/>
      <c r="G51" s="19"/>
      <c r="H51" s="19"/>
      <c r="I51" s="19"/>
      <c r="J51" s="19">
        <f>9.99</f>
        <v>9.99</v>
      </c>
      <c r="K51" s="19"/>
      <c r="L51" s="19">
        <f>69.99</f>
        <v>69.989999999999995</v>
      </c>
      <c r="M51" s="19">
        <f>7.45</f>
        <v>7.45</v>
      </c>
      <c r="N51" s="20">
        <f>SUM(B51:M51)</f>
        <v>87.429999999999993</v>
      </c>
      <c r="O51" s="20">
        <f>N51/COLUMNS(B51:M51)</f>
        <v>7.2858333333333327</v>
      </c>
      <c r="P51" s="30"/>
      <c r="Q51" s="29"/>
      <c r="R51" s="28"/>
      <c r="S51" s="13"/>
      <c r="T51" s="13"/>
      <c r="U51" s="13"/>
      <c r="V51" s="13"/>
      <c r="W51" s="13"/>
      <c r="X51" s="13"/>
      <c r="Y51" s="13"/>
      <c r="Z51" s="13"/>
    </row>
    <row r="52" spans="1:26" ht="14.25" customHeight="1">
      <c r="A52" s="18" t="s">
        <v>51</v>
      </c>
      <c r="B52" s="19"/>
      <c r="C52" s="19"/>
      <c r="D52" s="19"/>
      <c r="E52" s="19"/>
      <c r="F52" s="19"/>
      <c r="G52" s="19"/>
      <c r="H52" s="19"/>
      <c r="I52" s="19"/>
      <c r="J52" s="19">
        <f>6.3</f>
        <v>6.3</v>
      </c>
      <c r="K52" s="19">
        <f>27.7</f>
        <v>27.7</v>
      </c>
      <c r="L52" s="19"/>
      <c r="M52" s="19"/>
      <c r="N52" s="20">
        <f>SUM(B52:M52)</f>
        <v>34</v>
      </c>
      <c r="O52" s="20">
        <f>N52/COLUMNS(B52:M52)</f>
        <v>2.8333333333333335</v>
      </c>
      <c r="P52" s="28"/>
      <c r="Q52" s="29"/>
      <c r="R52" s="28"/>
      <c r="S52" s="13"/>
      <c r="T52" s="13"/>
      <c r="U52" s="13"/>
      <c r="V52" s="13"/>
      <c r="W52" s="13"/>
      <c r="X52" s="13"/>
      <c r="Y52" s="13"/>
      <c r="Z52" s="13"/>
    </row>
    <row r="53" spans="1:26" ht="14.25" customHeight="1">
      <c r="A53" s="18" t="s">
        <v>52</v>
      </c>
      <c r="B53" s="19"/>
      <c r="C53" s="19">
        <f>8.9 + 11</f>
        <v>19.899999999999999</v>
      </c>
      <c r="D53" s="19"/>
      <c r="E53" s="19">
        <f>38</f>
        <v>38</v>
      </c>
      <c r="F53" s="19"/>
      <c r="G53" s="19"/>
      <c r="H53" s="19"/>
      <c r="I53" s="19"/>
      <c r="J53" s="19"/>
      <c r="K53" s="19">
        <f>76 + 42.9 + 42</f>
        <v>160.9</v>
      </c>
      <c r="L53" s="19"/>
      <c r="M53" s="19">
        <f>51</f>
        <v>51</v>
      </c>
      <c r="N53" s="20">
        <f>SUM(B53:M53)</f>
        <v>269.8</v>
      </c>
      <c r="O53" s="20">
        <f>N53/COLUMNS(B53:M53)</f>
        <v>22.483333333333334</v>
      </c>
      <c r="P53" s="28"/>
      <c r="Q53" s="29"/>
      <c r="R53" s="28"/>
      <c r="S53" s="13"/>
      <c r="T53" s="13"/>
      <c r="U53" s="13"/>
      <c r="V53" s="13"/>
      <c r="W53" s="13"/>
      <c r="X53" s="13"/>
      <c r="Y53" s="13"/>
      <c r="Z53" s="13"/>
    </row>
    <row r="54" spans="1:26" ht="14.25" customHeight="1">
      <c r="A54" s="18" t="s">
        <v>53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20">
        <f>SUM(B54:M54)</f>
        <v>0</v>
      </c>
      <c r="O54" s="20">
        <f>N54/COLUMNS(B54:M54)</f>
        <v>0</v>
      </c>
      <c r="P54" s="28"/>
      <c r="Q54" s="29"/>
      <c r="R54" s="28"/>
      <c r="S54" s="13"/>
      <c r="T54" s="13"/>
      <c r="U54" s="13"/>
      <c r="V54" s="13"/>
      <c r="W54" s="13"/>
      <c r="X54" s="13"/>
      <c r="Y54" s="13"/>
      <c r="Z54" s="13"/>
    </row>
    <row r="55" spans="1:26" ht="14.25" customHeight="1">
      <c r="A55" s="18" t="s">
        <v>54</v>
      </c>
      <c r="B55" s="19"/>
      <c r="C55" s="19"/>
      <c r="D55" s="19"/>
      <c r="E55" s="19">
        <f>31.99</f>
        <v>31.99</v>
      </c>
      <c r="F55" s="19"/>
      <c r="G55" s="19"/>
      <c r="H55" s="19"/>
      <c r="I55" s="19"/>
      <c r="J55" s="19">
        <f>117</f>
        <v>117</v>
      </c>
      <c r="K55" s="19"/>
      <c r="L55" s="19"/>
      <c r="M55" s="19"/>
      <c r="N55" s="20">
        <f>SUM(B55:M55)</f>
        <v>148.99</v>
      </c>
      <c r="O55" s="20">
        <f>N55/COLUMNS(B55:M55)</f>
        <v>12.415833333333333</v>
      </c>
      <c r="P55" s="28"/>
      <c r="Q55" s="29"/>
      <c r="R55" s="28"/>
      <c r="S55" s="13"/>
      <c r="T55" s="13"/>
      <c r="U55" s="13"/>
      <c r="V55" s="13"/>
      <c r="W55" s="13"/>
      <c r="X55" s="13"/>
      <c r="Y55" s="13"/>
      <c r="Z55" s="13"/>
    </row>
    <row r="56" spans="1:26" ht="14.25" customHeight="1">
      <c r="A56" s="18" t="s">
        <v>55</v>
      </c>
      <c r="B56" s="19">
        <v>6</v>
      </c>
      <c r="C56" s="19">
        <v>6</v>
      </c>
      <c r="D56" s="19">
        <v>6</v>
      </c>
      <c r="E56" s="19">
        <v>6</v>
      </c>
      <c r="F56" s="19">
        <v>6</v>
      </c>
      <c r="G56" s="19">
        <v>6</v>
      </c>
      <c r="H56" s="19">
        <v>6</v>
      </c>
      <c r="I56" s="19">
        <v>6</v>
      </c>
      <c r="J56" s="19">
        <v>6</v>
      </c>
      <c r="K56" s="19">
        <v>6</v>
      </c>
      <c r="L56" s="19">
        <v>6</v>
      </c>
      <c r="M56" s="19">
        <v>6</v>
      </c>
      <c r="N56" s="20">
        <f>SUM(B56:M56)</f>
        <v>72</v>
      </c>
      <c r="O56" s="20">
        <f>N56/COLUMNS(B56:M56)</f>
        <v>6</v>
      </c>
      <c r="P56" s="28"/>
      <c r="Q56" s="29"/>
      <c r="R56" s="28"/>
      <c r="S56" s="13"/>
      <c r="T56" s="13"/>
      <c r="U56" s="13"/>
      <c r="V56" s="13"/>
      <c r="W56" s="13"/>
      <c r="X56" s="13"/>
      <c r="Y56" s="13"/>
      <c r="Z56" s="13"/>
    </row>
    <row r="57" spans="1:26" ht="14.25" customHeight="1">
      <c r="A57" s="18" t="s">
        <v>56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0">
        <f>SUM(B57:M57)</f>
        <v>0</v>
      </c>
      <c r="O57" s="20">
        <f>N57/COLUMNS(B57:M57)</f>
        <v>0</v>
      </c>
      <c r="P57" s="28"/>
      <c r="Q57" s="29"/>
      <c r="R57" s="28"/>
      <c r="S57" s="13"/>
      <c r="T57" s="13"/>
      <c r="U57" s="13"/>
      <c r="V57" s="13"/>
      <c r="W57" s="13"/>
      <c r="X57" s="13"/>
      <c r="Y57" s="13"/>
      <c r="Z57" s="13"/>
    </row>
    <row r="58" spans="1:26" ht="14.25" customHeight="1">
      <c r="A58" s="18" t="s">
        <v>57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0">
        <f>SUM(B58:M58)</f>
        <v>0</v>
      </c>
      <c r="O58" s="20">
        <f>N58/COLUMNS(B58:M58)</f>
        <v>0</v>
      </c>
      <c r="P58" s="30"/>
      <c r="Q58" s="29"/>
      <c r="R58" s="28"/>
      <c r="S58" s="13"/>
      <c r="T58" s="13"/>
      <c r="U58" s="13"/>
      <c r="V58" s="13"/>
      <c r="W58" s="13"/>
      <c r="X58" s="13"/>
      <c r="Y58" s="13"/>
      <c r="Z58" s="13"/>
    </row>
    <row r="59" spans="1:26" ht="14.25" customHeight="1">
      <c r="A59" s="18" t="s">
        <v>58</v>
      </c>
      <c r="B59" s="19"/>
      <c r="C59" s="19"/>
      <c r="D59" s="19"/>
      <c r="E59" s="19">
        <f>176</f>
        <v>176</v>
      </c>
      <c r="F59" s="19"/>
      <c r="G59" s="19"/>
      <c r="H59" s="19">
        <f>12.06+9.65+9.65+47.98+6.04+3.1+9.65+10.72+16.75+21.71+162.81+6.85+6.85+6.85+8.66+0.86+2.53+9.65+9.65+6.5+9.65+4.56+6.3+13.8+21.98+13+5.36</f>
        <v>443.17000000000007</v>
      </c>
      <c r="I59" s="19">
        <f>400 + 50 + 4.9 + 2.05 + 2.21 + 42 + 89.34 + 250 + 250 + 1435 + 5 + 1.9 + 5.7 + 5.31 + 12.16 + 4.31 + 14 + 2 + 1.9</f>
        <v>2577.7799999999997</v>
      </c>
      <c r="J59" s="19">
        <f>113 + 2.59</f>
        <v>115.59</v>
      </c>
      <c r="K59" s="19"/>
      <c r="L59" s="19"/>
      <c r="M59" s="19">
        <f>99.01 + 54.8</f>
        <v>153.81</v>
      </c>
      <c r="N59" s="20">
        <f>SUM(B59:M59)</f>
        <v>3466.35</v>
      </c>
      <c r="O59" s="20">
        <f>N59/COLUMNS(B59:M59)</f>
        <v>288.86250000000001</v>
      </c>
      <c r="P59" s="51"/>
      <c r="Q59" s="29"/>
      <c r="R59" s="28"/>
      <c r="S59" s="13"/>
      <c r="T59" s="13"/>
      <c r="U59" s="13"/>
      <c r="V59" s="13"/>
      <c r="W59" s="13"/>
      <c r="X59" s="13"/>
      <c r="Y59" s="13"/>
      <c r="Z59" s="13"/>
    </row>
    <row r="60" spans="1:26" ht="14.25" customHeight="1">
      <c r="A60" s="25" t="s">
        <v>20</v>
      </c>
      <c r="B60" s="31">
        <v>40</v>
      </c>
      <c r="C60" s="31"/>
      <c r="D60" s="31"/>
      <c r="E60" s="31">
        <f>50</f>
        <v>50</v>
      </c>
      <c r="F60" s="31">
        <f>46 + 20 + 20 + 15</f>
        <v>101</v>
      </c>
      <c r="G60" s="31">
        <f>40</f>
        <v>40</v>
      </c>
      <c r="H60" s="31"/>
      <c r="I60" s="31"/>
      <c r="J60" s="31"/>
      <c r="K60" s="31">
        <f>5 + 50</f>
        <v>55</v>
      </c>
      <c r="L60" s="31">
        <f>50</f>
        <v>50</v>
      </c>
      <c r="M60" s="31">
        <f>80 + 40</f>
        <v>120</v>
      </c>
      <c r="N60" s="20">
        <f>SUM(B60:M60)</f>
        <v>456</v>
      </c>
      <c r="O60" s="20">
        <f>N60/COLUMNS(B60:M60)</f>
        <v>38</v>
      </c>
      <c r="P60" s="28"/>
      <c r="Q60" s="29"/>
      <c r="R60" s="28"/>
      <c r="S60" s="13"/>
      <c r="T60" s="13"/>
      <c r="U60" s="13"/>
      <c r="V60" s="13"/>
      <c r="W60" s="13"/>
      <c r="X60" s="13"/>
      <c r="Y60" s="13"/>
      <c r="Z60" s="13"/>
    </row>
    <row r="61" spans="1:26" ht="14.25" customHeight="1">
      <c r="A61" s="53" t="str">
        <f>"Total " &amp; 'Input Sheet'!$A$45</f>
        <v>Total Entertainment</v>
      </c>
      <c r="B61" s="38">
        <f>SUBTOTAL(109,'Input Sheet'!$B$46:$B$60)</f>
        <v>82.3</v>
      </c>
      <c r="C61" s="38">
        <f>SUBTOTAL(109,'Input Sheet'!$C$46:$C$60)</f>
        <v>190.99</v>
      </c>
      <c r="D61" s="38">
        <f>SUBTOTAL(109,'Input Sheet'!$D$46:$D$60)</f>
        <v>152.87999999999997</v>
      </c>
      <c r="E61" s="38">
        <f>SUBTOTAL(109,'Input Sheet'!$E$46:$E$60)</f>
        <v>478.23</v>
      </c>
      <c r="F61" s="38">
        <f>SUBTOTAL(109,'Input Sheet'!$F$46:$F$60)</f>
        <v>241.98000000000002</v>
      </c>
      <c r="G61" s="38">
        <f>SUBTOTAL(109,'Input Sheet'!$G$46:$G$60)</f>
        <v>93.289999999999992</v>
      </c>
      <c r="H61" s="38">
        <f>SUBTOTAL(109,'Input Sheet'!$H$46:$H$60)</f>
        <v>673.90000000000009</v>
      </c>
      <c r="I61" s="38">
        <f>SUBTOTAL(109,'Input Sheet'!$I$46:$I$60)</f>
        <v>2583.7799999999997</v>
      </c>
      <c r="J61" s="38">
        <f>SUBTOTAL(109,'Input Sheet'!$J$46:$J$60)</f>
        <v>508.95000000000005</v>
      </c>
      <c r="K61" s="38">
        <f>SUBTOTAL(109,'Input Sheet'!$K$46:$K$60)</f>
        <v>554.4</v>
      </c>
      <c r="L61" s="38">
        <f>SUBTOTAL(109,'Input Sheet'!$L$46:$L$60)</f>
        <v>497.73</v>
      </c>
      <c r="M61" s="38">
        <f>SUBTOTAL(109,'Input Sheet'!$M$46:$M$60)</f>
        <v>859.75000000000023</v>
      </c>
      <c r="N61" s="20">
        <f>SUM(N46:N60)</f>
        <v>6918.18</v>
      </c>
      <c r="O61" s="20">
        <f>AVERAGE(O46:O60)</f>
        <v>38.434333333333335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51"/>
      <c r="O62" s="51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4.25" customHeight="1">
      <c r="A63" s="35" t="s">
        <v>59</v>
      </c>
      <c r="B63" s="36" t="s">
        <v>1</v>
      </c>
      <c r="C63" s="36" t="s">
        <v>2</v>
      </c>
      <c r="D63" s="36" t="s">
        <v>3</v>
      </c>
      <c r="E63" s="36" t="s">
        <v>4</v>
      </c>
      <c r="F63" s="36" t="s">
        <v>5</v>
      </c>
      <c r="G63" s="36" t="s">
        <v>6</v>
      </c>
      <c r="H63" s="36" t="s">
        <v>7</v>
      </c>
      <c r="I63" s="36" t="s">
        <v>8</v>
      </c>
      <c r="J63" s="36" t="s">
        <v>9</v>
      </c>
      <c r="K63" s="36" t="s">
        <v>10</v>
      </c>
      <c r="L63" s="36" t="s">
        <v>11</v>
      </c>
      <c r="M63" s="49" t="s">
        <v>12</v>
      </c>
      <c r="N63" s="60" t="s">
        <v>13</v>
      </c>
      <c r="O63" s="60" t="s">
        <v>14</v>
      </c>
      <c r="P63" s="12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4.25" customHeight="1">
      <c r="A64" s="48" t="s">
        <v>60</v>
      </c>
      <c r="B64" s="42">
        <v>58.88</v>
      </c>
      <c r="C64" s="43"/>
      <c r="D64" s="43"/>
      <c r="E64" s="43">
        <v>8</v>
      </c>
      <c r="F64" s="43"/>
      <c r="G64" s="43"/>
      <c r="H64" s="43">
        <v>3.55</v>
      </c>
      <c r="I64" s="43"/>
      <c r="J64" s="43"/>
      <c r="K64" s="43">
        <v>504</v>
      </c>
      <c r="L64" s="43"/>
      <c r="M64" s="44"/>
      <c r="N64" s="38">
        <f>SUM(B64:M64)</f>
        <v>574.42999999999995</v>
      </c>
      <c r="O64" s="38">
        <f>N64/COLUMNS(B64:M64)</f>
        <v>47.869166666666665</v>
      </c>
      <c r="P64" s="3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4.25" customHeight="1">
      <c r="A65" s="48" t="s">
        <v>61</v>
      </c>
      <c r="B65" s="45"/>
      <c r="C65" s="46"/>
      <c r="D65" s="46"/>
      <c r="E65" s="46">
        <v>510</v>
      </c>
      <c r="F65" s="46"/>
      <c r="G65" s="46"/>
      <c r="H65" s="46"/>
      <c r="I65" s="46"/>
      <c r="J65" s="46"/>
      <c r="K65" s="46"/>
      <c r="L65" s="46"/>
      <c r="M65" s="47"/>
      <c r="N65" s="39">
        <f>SUM(B65:M65)</f>
        <v>510</v>
      </c>
      <c r="O65" s="39">
        <f>N65/COLUMNS(B65:M65)</f>
        <v>42.5</v>
      </c>
      <c r="P65" s="3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4.2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39">
        <f>SUM(N64:N65)</f>
        <v>1084.4299999999998</v>
      </c>
      <c r="O66" s="39">
        <f>AVERAGE(O64:O65)</f>
        <v>45.184583333333336</v>
      </c>
      <c r="P66" s="3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4.25" customHeight="1">
      <c r="A67" s="57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58"/>
      <c r="O67" s="58"/>
      <c r="P67" s="40"/>
      <c r="Q67" s="40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59"/>
      <c r="O68" s="59"/>
      <c r="P68" s="40"/>
      <c r="Q68" s="40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>
      <c r="A69" s="5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37"/>
      <c r="O69" s="37"/>
      <c r="P69" s="40"/>
      <c r="Q69" s="40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59"/>
      <c r="O70" s="59"/>
      <c r="P70" s="4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17"/>
      <c r="O71" s="1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24"/>
      <c r="O72" s="24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17"/>
      <c r="O73" s="1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24"/>
      <c r="O74" s="24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2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2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26" ht="1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26" ht="15" customHeight="1">
      <c r="N998" s="4"/>
      <c r="O998" s="4"/>
    </row>
  </sheetData>
  <printOptions horizontalCentered="1"/>
  <pageMargins left="0.4" right="0.4" top="0.35" bottom="0.35" header="0" footer="0"/>
  <pageSetup fitToHeight="0" orientation="portrait"/>
  <ignoredErrors>
    <ignoredError sqref="O14" evalError="1"/>
  </ignoredErrors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Vertex42.com</dc:creator>
  <cp:keywords/>
  <dc:description/>
  <cp:lastModifiedBy/>
  <cp:revision/>
  <dcterms:created xsi:type="dcterms:W3CDTF">2007-10-28T01:07:07Z</dcterms:created>
  <dcterms:modified xsi:type="dcterms:W3CDTF">2026-04-23T12:24:41Z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2008-2019 Vertex42 LLC</vt:lpwstr>
  </property>
  <property fmtid="{D5CDD505-2E9C-101B-9397-08002B2CF9AE}" pid="3" name="Source">
    <vt:lpwstr>https://www.vertex42.com/ExcelTemplates/personal-budget-spreadsheet.html</vt:lpwstr>
  </property>
  <property fmtid="{D5CDD505-2E9C-101B-9397-08002B2CF9AE}" pid="4" name="Version">
    <vt:lpwstr>1.1.4</vt:lpwstr>
  </property>
</Properties>
</file>